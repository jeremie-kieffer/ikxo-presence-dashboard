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jeremiekieffer/Projets/ikxo-presence-dashboard/public/data/"/>
    </mc:Choice>
  </mc:AlternateContent>
  <xr:revisionPtr revIDLastSave="0" documentId="13_ncr:1_{09119C44-F7FB-184D-9CA8-3BB1D0C877B8}" xr6:coauthVersionLast="47" xr6:coauthVersionMax="47" xr10:uidLastSave="{00000000-0000-0000-0000-000000000000}"/>
  <bookViews>
    <workbookView xWindow="0" yWindow="660" windowWidth="29400" windowHeight="17520" tabRatio="500" firstSheet="4" activeTab="8" xr2:uid="{00000000-000D-0000-FFFF-FFFF00000000}"/>
  </bookViews>
  <sheets>
    <sheet name="Convention" sheetId="1" r:id="rId1"/>
    <sheet name="Référentiel" sheetId="2" r:id="rId2"/>
    <sheet name="Événements" sheetId="3" r:id="rId3"/>
    <sheet name="Saisie 2026-02" sheetId="4" r:id="rId4"/>
    <sheet name="Saisie 2026-03" sheetId="5" r:id="rId5"/>
    <sheet name="Saisie 2026-04" sheetId="6" r:id="rId6"/>
    <sheet name="Saisie 2026-05" sheetId="7" r:id="rId7"/>
    <sheet name="Saisie 2026-06" sheetId="8" r:id="rId8"/>
    <sheet name="Saisie 2026-07" sheetId="9" r:id="rId9"/>
    <sheet name="Formations" sheetId="10" r:id="rId10"/>
    <sheet name="Formations_Participations" sheetId="11" r:id="rId11"/>
    <sheet name="Log" sheetId="12" r:id="rId12"/>
    <sheet name="Synthèse mensuelle" sheetId="13" r:id="rId13"/>
    <sheet name="Synthèse consultant" sheetId="14" r:id="rId14"/>
    <sheet name="Formation_Feedbacks" sheetId="15" r:id="rId1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1" i="14" l="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B6" i="11"/>
  <c r="B5" i="11"/>
  <c r="B4" i="11"/>
  <c r="Y30" i="8"/>
  <c r="F31" i="14" s="1"/>
  <c r="X30" i="8"/>
  <c r="Y29" i="8"/>
  <c r="F30" i="14" s="1"/>
  <c r="X29" i="8"/>
  <c r="X28" i="8"/>
  <c r="Y28" i="8" s="1"/>
  <c r="F29" i="14" s="1"/>
  <c r="Y27" i="8"/>
  <c r="F28" i="14" s="1"/>
  <c r="X27" i="8"/>
  <c r="Y26" i="8"/>
  <c r="F27" i="14" s="1"/>
  <c r="X26" i="8"/>
  <c r="Y25" i="8"/>
  <c r="F26" i="14" s="1"/>
  <c r="X25" i="8"/>
  <c r="X24" i="8"/>
  <c r="Y24" i="8" s="1"/>
  <c r="F25" i="14" s="1"/>
  <c r="Y23" i="8"/>
  <c r="F24" i="14" s="1"/>
  <c r="X23" i="8"/>
  <c r="Y22" i="8"/>
  <c r="F23" i="14" s="1"/>
  <c r="X22" i="8"/>
  <c r="Y21" i="8"/>
  <c r="F22" i="14" s="1"/>
  <c r="X21" i="8"/>
  <c r="X20" i="8"/>
  <c r="Y20" i="8" s="1"/>
  <c r="F21" i="14" s="1"/>
  <c r="Y19" i="8"/>
  <c r="F20" i="14" s="1"/>
  <c r="X19" i="8"/>
  <c r="Y18" i="8"/>
  <c r="F19" i="14" s="1"/>
  <c r="X18" i="8"/>
  <c r="Y17" i="8"/>
  <c r="F18" i="14" s="1"/>
  <c r="X17" i="8"/>
  <c r="X16" i="8"/>
  <c r="Y16" i="8" s="1"/>
  <c r="F17" i="14" s="1"/>
  <c r="Y15" i="8"/>
  <c r="F16" i="14" s="1"/>
  <c r="X15" i="8"/>
  <c r="Y14" i="8"/>
  <c r="F15" i="14" s="1"/>
  <c r="X14" i="8"/>
  <c r="Y13" i="8"/>
  <c r="F14" i="14" s="1"/>
  <c r="X13" i="8"/>
  <c r="X12" i="8"/>
  <c r="Y12" i="8" s="1"/>
  <c r="F13" i="14" s="1"/>
  <c r="Y11" i="8"/>
  <c r="F12" i="14" s="1"/>
  <c r="X11" i="8"/>
  <c r="Y10" i="8"/>
  <c r="F11" i="14" s="1"/>
  <c r="X10" i="8"/>
  <c r="Y9" i="8"/>
  <c r="F10" i="14" s="1"/>
  <c r="X9" i="8"/>
  <c r="X8" i="8"/>
  <c r="Y8" i="8" s="1"/>
  <c r="Y7" i="8"/>
  <c r="F9" i="14" s="1"/>
  <c r="X7" i="8"/>
  <c r="Y6" i="8"/>
  <c r="F8" i="14" s="1"/>
  <c r="X6" i="8"/>
  <c r="Y5" i="8"/>
  <c r="F7" i="14" s="1"/>
  <c r="X5" i="8"/>
  <c r="X4" i="8"/>
  <c r="Y4" i="8" s="1"/>
  <c r="U29" i="7"/>
  <c r="E31" i="14" s="1"/>
  <c r="T29" i="7"/>
  <c r="U28" i="7"/>
  <c r="E30" i="14" s="1"/>
  <c r="T28" i="7"/>
  <c r="U27" i="7"/>
  <c r="E29" i="14" s="1"/>
  <c r="T27" i="7"/>
  <c r="T26" i="7"/>
  <c r="U26" i="7" s="1"/>
  <c r="E28" i="14" s="1"/>
  <c r="U25" i="7"/>
  <c r="E27" i="14" s="1"/>
  <c r="T25" i="7"/>
  <c r="U24" i="7"/>
  <c r="E26" i="14" s="1"/>
  <c r="T24" i="7"/>
  <c r="U23" i="7"/>
  <c r="E25" i="14" s="1"/>
  <c r="T23" i="7"/>
  <c r="T22" i="7"/>
  <c r="U22" i="7" s="1"/>
  <c r="E24" i="14" s="1"/>
  <c r="U21" i="7"/>
  <c r="E23" i="14" s="1"/>
  <c r="T21" i="7"/>
  <c r="U20" i="7"/>
  <c r="E22" i="14" s="1"/>
  <c r="T20" i="7"/>
  <c r="U19" i="7"/>
  <c r="E21" i="14" s="1"/>
  <c r="T19" i="7"/>
  <c r="T18" i="7"/>
  <c r="U18" i="7" s="1"/>
  <c r="E20" i="14" s="1"/>
  <c r="U17" i="7"/>
  <c r="E19" i="14" s="1"/>
  <c r="T17" i="7"/>
  <c r="U16" i="7"/>
  <c r="E18" i="14" s="1"/>
  <c r="T16" i="7"/>
  <c r="U15" i="7"/>
  <c r="E17" i="14" s="1"/>
  <c r="T15" i="7"/>
  <c r="T14" i="7"/>
  <c r="U14" i="7" s="1"/>
  <c r="E16" i="14" s="1"/>
  <c r="U13" i="7"/>
  <c r="E15" i="14" s="1"/>
  <c r="T13" i="7"/>
  <c r="U12" i="7"/>
  <c r="E14" i="14" s="1"/>
  <c r="T12" i="7"/>
  <c r="T11" i="7"/>
  <c r="U11" i="7" s="1"/>
  <c r="E13" i="14" s="1"/>
  <c r="T10" i="7"/>
  <c r="U10" i="7" s="1"/>
  <c r="E12" i="14" s="1"/>
  <c r="U9" i="7"/>
  <c r="E11" i="14" s="1"/>
  <c r="T9" i="7"/>
  <c r="U8" i="7"/>
  <c r="E10" i="14" s="1"/>
  <c r="T8" i="7"/>
  <c r="T7" i="7"/>
  <c r="U7" i="7" s="1"/>
  <c r="E9" i="14" s="1"/>
  <c r="T6" i="7"/>
  <c r="U6" i="7" s="1"/>
  <c r="E8" i="14" s="1"/>
  <c r="T5" i="7"/>
  <c r="U5" i="7" s="1"/>
  <c r="E7" i="14" s="1"/>
  <c r="U4" i="7"/>
  <c r="E6" i="14" s="1"/>
  <c r="T4" i="7"/>
  <c r="F9" i="13" s="1"/>
  <c r="X29" i="6"/>
  <c r="Y29" i="6" s="1"/>
  <c r="D31" i="14" s="1"/>
  <c r="X28" i="6"/>
  <c r="Y28" i="6" s="1"/>
  <c r="D30" i="14" s="1"/>
  <c r="Y27" i="6"/>
  <c r="D29" i="14" s="1"/>
  <c r="X27" i="6"/>
  <c r="Y26" i="6"/>
  <c r="D28" i="14" s="1"/>
  <c r="X26" i="6"/>
  <c r="X25" i="6"/>
  <c r="Y25" i="6" s="1"/>
  <c r="D27" i="14" s="1"/>
  <c r="X24" i="6"/>
  <c r="Y24" i="6" s="1"/>
  <c r="D26" i="14" s="1"/>
  <c r="Y23" i="6"/>
  <c r="D25" i="14" s="1"/>
  <c r="X23" i="6"/>
  <c r="Y22" i="6"/>
  <c r="D24" i="14" s="1"/>
  <c r="X22" i="6"/>
  <c r="X21" i="6"/>
  <c r="Y21" i="6" s="1"/>
  <c r="D23" i="14" s="1"/>
  <c r="X20" i="6"/>
  <c r="Y20" i="6" s="1"/>
  <c r="D22" i="14" s="1"/>
  <c r="Y19" i="6"/>
  <c r="D21" i="14" s="1"/>
  <c r="X19" i="6"/>
  <c r="Y18" i="6"/>
  <c r="D20" i="14" s="1"/>
  <c r="X18" i="6"/>
  <c r="X17" i="6"/>
  <c r="Y17" i="6" s="1"/>
  <c r="D19" i="14" s="1"/>
  <c r="X16" i="6"/>
  <c r="Y16" i="6" s="1"/>
  <c r="D18" i="14" s="1"/>
  <c r="Y15" i="6"/>
  <c r="D17" i="14" s="1"/>
  <c r="X15" i="6"/>
  <c r="Y14" i="6"/>
  <c r="D16" i="14" s="1"/>
  <c r="X14" i="6"/>
  <c r="X13" i="6"/>
  <c r="Y13" i="6" s="1"/>
  <c r="D15" i="14" s="1"/>
  <c r="X12" i="6"/>
  <c r="Y12" i="6" s="1"/>
  <c r="D14" i="14" s="1"/>
  <c r="Y11" i="6"/>
  <c r="D13" i="14" s="1"/>
  <c r="X11" i="6"/>
  <c r="Y10" i="6"/>
  <c r="D12" i="14" s="1"/>
  <c r="X10" i="6"/>
  <c r="X9" i="6"/>
  <c r="Y9" i="6" s="1"/>
  <c r="D11" i="14" s="1"/>
  <c r="X8" i="6"/>
  <c r="Y8" i="6" s="1"/>
  <c r="D10" i="14" s="1"/>
  <c r="Y7" i="6"/>
  <c r="D9" i="14" s="1"/>
  <c r="X7" i="6"/>
  <c r="Y6" i="6"/>
  <c r="D8" i="14" s="1"/>
  <c r="X6" i="6"/>
  <c r="X5" i="6"/>
  <c r="Y5" i="6" s="1"/>
  <c r="D7" i="14" s="1"/>
  <c r="X4" i="6"/>
  <c r="C8" i="13" s="1"/>
  <c r="Y29" i="5"/>
  <c r="C31" i="14" s="1"/>
  <c r="G31" i="14" s="1"/>
  <c r="H31" i="14" s="1"/>
  <c r="X29" i="5"/>
  <c r="Y28" i="5"/>
  <c r="C30" i="14" s="1"/>
  <c r="X28" i="5"/>
  <c r="X27" i="5"/>
  <c r="Y27" i="5" s="1"/>
  <c r="C29" i="14" s="1"/>
  <c r="X26" i="5"/>
  <c r="Y26" i="5" s="1"/>
  <c r="C28" i="14" s="1"/>
  <c r="Y25" i="5"/>
  <c r="C27" i="14" s="1"/>
  <c r="X25" i="5"/>
  <c r="Y24" i="5"/>
  <c r="C26" i="14" s="1"/>
  <c r="X24" i="5"/>
  <c r="X23" i="5"/>
  <c r="Y23" i="5" s="1"/>
  <c r="C25" i="14" s="1"/>
  <c r="X22" i="5"/>
  <c r="Y22" i="5" s="1"/>
  <c r="C24" i="14" s="1"/>
  <c r="Y21" i="5"/>
  <c r="C23" i="14" s="1"/>
  <c r="X21" i="5"/>
  <c r="Y20" i="5"/>
  <c r="C22" i="14" s="1"/>
  <c r="X20" i="5"/>
  <c r="X19" i="5"/>
  <c r="Y19" i="5" s="1"/>
  <c r="C21" i="14" s="1"/>
  <c r="X18" i="5"/>
  <c r="Y18" i="5" s="1"/>
  <c r="C20" i="14" s="1"/>
  <c r="Y17" i="5"/>
  <c r="C19" i="14" s="1"/>
  <c r="X17" i="5"/>
  <c r="Y16" i="5"/>
  <c r="C18" i="14" s="1"/>
  <c r="X16" i="5"/>
  <c r="X15" i="5"/>
  <c r="Y15" i="5" s="1"/>
  <c r="C17" i="14" s="1"/>
  <c r="X14" i="5"/>
  <c r="Y14" i="5" s="1"/>
  <c r="C16" i="14" s="1"/>
  <c r="Y13" i="5"/>
  <c r="C15" i="14" s="1"/>
  <c r="X13" i="5"/>
  <c r="Y12" i="5"/>
  <c r="C14" i="14" s="1"/>
  <c r="X12" i="5"/>
  <c r="X11" i="5"/>
  <c r="Y11" i="5" s="1"/>
  <c r="C13" i="14" s="1"/>
  <c r="X10" i="5"/>
  <c r="Y10" i="5" s="1"/>
  <c r="C12" i="14" s="1"/>
  <c r="Y9" i="5"/>
  <c r="C11" i="14" s="1"/>
  <c r="X9" i="5"/>
  <c r="Y8" i="5"/>
  <c r="C10" i="14" s="1"/>
  <c r="X8" i="5"/>
  <c r="X7" i="5"/>
  <c r="Y7" i="5" s="1"/>
  <c r="C9" i="14" s="1"/>
  <c r="X6" i="5"/>
  <c r="Y6" i="5" s="1"/>
  <c r="Y5" i="5"/>
  <c r="C7" i="14" s="1"/>
  <c r="X5" i="5"/>
  <c r="Y4" i="5"/>
  <c r="C6" i="14" s="1"/>
  <c r="X4" i="5"/>
  <c r="F7" i="13" s="1"/>
  <c r="V28" i="4"/>
  <c r="W28" i="4" s="1"/>
  <c r="B30" i="14" s="1"/>
  <c r="G30" i="14" s="1"/>
  <c r="H30" i="14" s="1"/>
  <c r="V27" i="4"/>
  <c r="W27" i="4" s="1"/>
  <c r="B29" i="14" s="1"/>
  <c r="G29" i="14" s="1"/>
  <c r="H29" i="14" s="1"/>
  <c r="V26" i="4"/>
  <c r="W26" i="4" s="1"/>
  <c r="B28" i="14" s="1"/>
  <c r="G28" i="14" s="1"/>
  <c r="H28" i="14" s="1"/>
  <c r="W25" i="4"/>
  <c r="B27" i="14" s="1"/>
  <c r="V25" i="4"/>
  <c r="V24" i="4"/>
  <c r="W24" i="4" s="1"/>
  <c r="B26" i="14" s="1"/>
  <c r="V23" i="4"/>
  <c r="W23" i="4" s="1"/>
  <c r="B25" i="14" s="1"/>
  <c r="V22" i="4"/>
  <c r="W22" i="4" s="1"/>
  <c r="B24" i="14" s="1"/>
  <c r="W21" i="4"/>
  <c r="B23" i="14" s="1"/>
  <c r="G23" i="14" s="1"/>
  <c r="H23" i="14" s="1"/>
  <c r="V21" i="4"/>
  <c r="V20" i="4"/>
  <c r="W20" i="4" s="1"/>
  <c r="B22" i="14" s="1"/>
  <c r="G22" i="14" s="1"/>
  <c r="H22" i="14" s="1"/>
  <c r="V19" i="4"/>
  <c r="W19" i="4" s="1"/>
  <c r="B21" i="14" s="1"/>
  <c r="G21" i="14" s="1"/>
  <c r="H21" i="14" s="1"/>
  <c r="V18" i="4"/>
  <c r="W18" i="4" s="1"/>
  <c r="B20" i="14" s="1"/>
  <c r="W17" i="4"/>
  <c r="B19" i="14" s="1"/>
  <c r="V17" i="4"/>
  <c r="V16" i="4"/>
  <c r="W16" i="4" s="1"/>
  <c r="B18" i="14" s="1"/>
  <c r="V15" i="4"/>
  <c r="W15" i="4" s="1"/>
  <c r="B17" i="14" s="1"/>
  <c r="G17" i="14" s="1"/>
  <c r="H17" i="14" s="1"/>
  <c r="V14" i="4"/>
  <c r="W14" i="4" s="1"/>
  <c r="B16" i="14" s="1"/>
  <c r="G16" i="14" s="1"/>
  <c r="H16" i="14" s="1"/>
  <c r="W13" i="4"/>
  <c r="B15" i="14" s="1"/>
  <c r="G15" i="14" s="1"/>
  <c r="H15" i="14" s="1"/>
  <c r="V13" i="4"/>
  <c r="V12" i="4"/>
  <c r="W12" i="4" s="1"/>
  <c r="B14" i="14" s="1"/>
  <c r="V11" i="4"/>
  <c r="W11" i="4" s="1"/>
  <c r="B13" i="14" s="1"/>
  <c r="V10" i="4"/>
  <c r="W10" i="4" s="1"/>
  <c r="B12" i="14" s="1"/>
  <c r="W9" i="4"/>
  <c r="B11" i="14" s="1"/>
  <c r="V9" i="4"/>
  <c r="V8" i="4"/>
  <c r="W8" i="4" s="1"/>
  <c r="B10" i="14" s="1"/>
  <c r="G10" i="14" s="1"/>
  <c r="H10" i="14" s="1"/>
  <c r="V7" i="4"/>
  <c r="W7" i="4" s="1"/>
  <c r="B9" i="14" s="1"/>
  <c r="G9" i="14" s="1"/>
  <c r="H9" i="14" s="1"/>
  <c r="V6" i="4"/>
  <c r="W6" i="4" s="1"/>
  <c r="B8" i="14" s="1"/>
  <c r="W5" i="4"/>
  <c r="B7" i="14" s="1"/>
  <c r="G7" i="14" s="1"/>
  <c r="H7" i="14" s="1"/>
  <c r="V5" i="4"/>
  <c r="V4" i="4"/>
  <c r="X28" i="9"/>
  <c r="Y28" i="9" s="1"/>
  <c r="X27" i="9"/>
  <c r="Y27" i="9" s="1"/>
  <c r="Y26" i="9"/>
  <c r="X26" i="9"/>
  <c r="X25" i="9"/>
  <c r="Y25" i="9" s="1"/>
  <c r="X24" i="9"/>
  <c r="Y24" i="9" s="1"/>
  <c r="X23" i="9"/>
  <c r="Y23" i="9" s="1"/>
  <c r="X22" i="9"/>
  <c r="Y22" i="9" s="1"/>
  <c r="X21" i="9"/>
  <c r="Y21" i="9" s="1"/>
  <c r="X20" i="9"/>
  <c r="Y20" i="9" s="1"/>
  <c r="X19" i="9"/>
  <c r="Y19" i="9" s="1"/>
  <c r="Y18" i="9"/>
  <c r="X18" i="9"/>
  <c r="X17" i="9"/>
  <c r="Y17" i="9" s="1"/>
  <c r="X16" i="9"/>
  <c r="Y16" i="9" s="1"/>
  <c r="X15" i="9"/>
  <c r="Y15" i="9" s="1"/>
  <c r="Y14" i="9"/>
  <c r="X14" i="9"/>
  <c r="X13" i="9"/>
  <c r="Y13" i="9" s="1"/>
  <c r="X12" i="9"/>
  <c r="Y12" i="9" s="1"/>
  <c r="X11" i="9"/>
  <c r="Y11" i="9" s="1"/>
  <c r="X10" i="9"/>
  <c r="Y10" i="9" s="1"/>
  <c r="X9" i="9"/>
  <c r="Y9" i="9" s="1"/>
  <c r="X8" i="9"/>
  <c r="Y8" i="9" s="1"/>
  <c r="X7" i="9"/>
  <c r="Y7" i="9" s="1"/>
  <c r="Y6" i="9"/>
  <c r="X6" i="9"/>
  <c r="X5" i="9"/>
  <c r="Y5" i="9" s="1"/>
  <c r="X4" i="9"/>
  <c r="Y4" i="9" s="1"/>
  <c r="G14" i="14" l="1"/>
  <c r="H14" i="14" s="1"/>
  <c r="G20" i="14"/>
  <c r="H20" i="14" s="1"/>
  <c r="G27" i="14"/>
  <c r="H27" i="14" s="1"/>
  <c r="C8" i="14"/>
  <c r="G8" i="14" s="1"/>
  <c r="H8" i="14" s="1"/>
  <c r="B7" i="13"/>
  <c r="G11" i="14"/>
  <c r="H11" i="14" s="1"/>
  <c r="G18" i="14"/>
  <c r="H18" i="14" s="1"/>
  <c r="G24" i="14"/>
  <c r="H24" i="14" s="1"/>
  <c r="G12" i="14"/>
  <c r="H12" i="14" s="1"/>
  <c r="G25" i="14"/>
  <c r="H25" i="14" s="1"/>
  <c r="F6" i="14"/>
  <c r="D10" i="13"/>
  <c r="B10" i="13"/>
  <c r="G13" i="14"/>
  <c r="H13" i="14" s="1"/>
  <c r="G19" i="14"/>
  <c r="H19" i="14" s="1"/>
  <c r="G26" i="14"/>
  <c r="H26" i="14" s="1"/>
  <c r="W4" i="4"/>
  <c r="F6" i="13"/>
  <c r="C10" i="13"/>
  <c r="C7" i="13"/>
  <c r="F8" i="13"/>
  <c r="D7" i="13"/>
  <c r="B9" i="13"/>
  <c r="E10" i="13"/>
  <c r="E7" i="13"/>
  <c r="C9" i="13"/>
  <c r="C11" i="13" s="1"/>
  <c r="F10" i="13"/>
  <c r="Y4" i="6"/>
  <c r="E8" i="13" s="1"/>
  <c r="E11" i="13" s="1"/>
  <c r="C6" i="13"/>
  <c r="D9" i="13"/>
  <c r="E9" i="13"/>
  <c r="D6" i="13" l="1"/>
  <c r="B6" i="13"/>
  <c r="B6" i="14"/>
  <c r="E6" i="13"/>
  <c r="B8" i="13"/>
  <c r="B11" i="13" s="1"/>
  <c r="D6" i="14"/>
  <c r="D8" i="13"/>
  <c r="D11" i="13" s="1"/>
  <c r="F11" i="13"/>
  <c r="G6" i="14" l="1"/>
  <c r="H6" i="14" s="1"/>
</calcChain>
</file>

<file path=xl/sharedStrings.xml><?xml version="1.0" encoding="utf-8"?>
<sst xmlns="http://schemas.openxmlformats.org/spreadsheetml/2006/main" count="1259" uniqueCount="461">
  <si>
    <t>Saisie présence — Juillet 2026</t>
  </si>
  <si>
    <t>Consultant</t>
  </si>
  <si>
    <t>Total</t>
  </si>
  <si>
    <t>Statut OKR</t>
  </si>
  <si>
    <t>Eva Andrzejewski</t>
  </si>
  <si>
    <t>Zelal Aslan</t>
  </si>
  <si>
    <t>IC</t>
  </si>
  <si>
    <t>Calixte Bailly</t>
  </si>
  <si>
    <t>Laureline Berthou</t>
  </si>
  <si>
    <t>Agnes Bregeon</t>
  </si>
  <si>
    <t>Julien Calvao</t>
  </si>
  <si>
    <t>Axel Charletoux</t>
  </si>
  <si>
    <t>Matthieu Le Corre</t>
  </si>
  <si>
    <t>Geoffroy Debellabre</t>
  </si>
  <si>
    <t>Anthéa Delpuech</t>
  </si>
  <si>
    <t>Alexandre Dieulesaint</t>
  </si>
  <si>
    <t>Théo Esposito</t>
  </si>
  <si>
    <t>Florian Le Fur</t>
  </si>
  <si>
    <t>Vincent Girard</t>
  </si>
  <si>
    <t>Caroline Hamoud</t>
  </si>
  <si>
    <t>Félix Hantraye</t>
  </si>
  <si>
    <t>Simon Kerhyuel</t>
  </si>
  <si>
    <t>François L'Hostis</t>
  </si>
  <si>
    <t>Barnabé Melaine</t>
  </si>
  <si>
    <t>Anthony Mocaer</t>
  </si>
  <si>
    <t>Esther Mussot</t>
  </si>
  <si>
    <t>Florian Roudier</t>
  </si>
  <si>
    <t>Sandra Tang</t>
  </si>
  <si>
    <t>Mathieu Ultsch</t>
  </si>
  <si>
    <t>Amandine Ziegler</t>
  </si>
  <si>
    <t>— Événements —</t>
  </si>
  <si>
    <t>XO Day</t>
  </si>
  <si>
    <t>XO Product Day</t>
  </si>
  <si>
    <t>Séminaire</t>
  </si>
  <si>
    <t>Convention de saisie — Suivi de présence consultants</t>
  </si>
  <si>
    <t>Ce fichier sert à suivre la présence des consultants au bureau et à mesurer notre OKR (objectif : 2 jours/mois minimum par consultant).</t>
  </si>
  <si>
    <t>Symboles à utiliser dans les onglets de saisie mensuelle</t>
  </si>
  <si>
    <t>Symbole</t>
  </si>
  <si>
    <t>Signification</t>
  </si>
  <si>
    <t>Impact sur le calcul</t>
  </si>
  <si>
    <t>1</t>
  </si>
  <si>
    <t>Présence au bureau</t>
  </si>
  <si>
    <t>Compte dans le total de présences du consultant</t>
  </si>
  <si>
    <t>Présence pendant une période d'intercontrat</t>
  </si>
  <si>
    <t>Compte comme une présence dans le total OKR. Permet de visualiser la période d'intercontrat.</t>
  </si>
  <si>
    <t>(vide)</t>
  </si>
  <si>
    <t>Absence par défaut (pas venu, en mission, télétravail, congés courts)</t>
  </si>
  <si>
    <t>Compte comme "non présent" — sous l'objectif si pas assez de "1"</t>
  </si>
  <si>
    <t>M</t>
  </si>
  <si>
    <t>Absence longue : congé maternité/paternité, parental, maladie longue, sabbatique</t>
  </si>
  <si>
    <t>Le consultant est exclu du calcul d'atteinte OKR pour ce mois</t>
  </si>
  <si>
    <t>X</t>
  </si>
  <si>
    <t>Date d'un événement (ligne XO Day, XO Product Day, Séminaire)</t>
  </si>
  <si>
    <t>Permet d'overlay l'événement sur les graphiques</t>
  </si>
  <si>
    <t>Comment utiliser le fichier</t>
  </si>
  <si>
    <t>1. Onglet "Référentiel" : ajoute/retire les consultants au fil des arrivées et départs.</t>
  </si>
  <si>
    <t>2. Onglet "Événements" : déclare en amont les XO Days, XO Product Days et séminaires prévus.</t>
  </si>
  <si>
    <t>3. Onglets "Saisie YYYY-MM" : saisie quotidienne des présences (1 dans la cellule). Crée un nouvel onglet par mois.</t>
  </si>
  <si>
    <t>4. Onglet "Log" : se met à jour automatiquement, pas de saisie manuelle. C'est la source pour le dashboard.</t>
  </si>
  <si>
    <t>5. Onglets "Synthèse" : KPI calculés automatiquement.</t>
  </si>
  <si>
    <t>Note importante</t>
  </si>
  <si>
    <t>Ce fichier est un fichier source. Les données calculées dans les onglets Log et Synthèse alimentent un dashboard externe (web). Ne pas modifier les formules de ces onglets.</t>
  </si>
  <si>
    <t>Symboles à utiliser dans l'onglet Formations_Participations</t>
  </si>
  <si>
    <t>F</t>
  </si>
  <si>
    <t>Formateur(rice) de la session</t>
  </si>
  <si>
    <t>Compte comme une animation dans le total du consultant (bleu)</t>
  </si>
  <si>
    <t>P</t>
  </si>
  <si>
    <t>Participant(e) présent(e) à la session</t>
  </si>
  <si>
    <t>Compte comme une participation dans le total du consultant (vert)</t>
  </si>
  <si>
    <t>Non concerné par la session</t>
  </si>
  <si>
    <t>Ne compte pas</t>
  </si>
  <si>
    <t>Conventions pour l'onglet Formations</t>
  </si>
  <si>
    <t>id_session</t>
  </si>
  <si>
    <t>Format F-YYYY-NNN. NNN incrément manuel, remis à 1 chaque année (ex. F-2026-001).</t>
  </si>
  <si>
    <t>date</t>
  </si>
  <si>
    <t>Date de la session, une session = un jour.</t>
  </si>
  <si>
    <t>thématique</t>
  </si>
  <si>
    <t>Libellé court de la session, texte libre.</t>
  </si>
  <si>
    <t>formateur</t>
  </si>
  <si>
    <t>Nom du/des formateur(s). Plusieurs noms séparés par virgule en cas de co-animation.</t>
  </si>
  <si>
    <t>lien_support</t>
  </si>
  <si>
    <t>URL du support de session (Notion en général). Optionnel.</t>
  </si>
  <si>
    <t>Règle importante</t>
  </si>
  <si>
    <t>Les consultants dans Formations_Participations doivent rester dans le même ordre que dans les onglets Saisie YYYY-MM. Toute réorganisation (ajout, retrait, tri) doit être faite simultanément dans les deux familles d'onglets pour préserver la cohérence (et la future vue consultant consolidée).</t>
  </si>
  <si>
    <t>Cycle de vie des consultants (Référentiel)</t>
  </si>
  <si>
    <t>Règle absolue</t>
  </si>
  <si>
    <t>Ne jamais supprimer une ligne consultant. Quand un consultant part, remplir Date de sortie ; sa ligne reste en place dans Référentiel et dans toutes les matrices, ce qui préserve son historique.</t>
  </si>
  <si>
    <t>Arrivée</t>
  </si>
  <si>
    <t>Ajouter au Référentiel avec Date d'entrée. Ajouter une ligne consultant dans les matrices Saisie YYYY-MM (présent et à venir) et Formations_Participations.</t>
  </si>
  <si>
    <t>Départ</t>
  </si>
  <si>
    <t>Remplir Date de sortie dans le Référentiel. Ne pas toucher aux matrices.</t>
  </si>
  <si>
    <t>Saisie d'un formateur</t>
  </si>
  <si>
    <t>Onglet Formations</t>
  </si>
  <si>
    <t>Choisis le nom dans la liste déroulante de la colonne formateur. Pour co-animation, sépare plusieurs noms par une virgule.</t>
  </si>
  <si>
    <t>Matrice Formations_Participations</t>
  </si>
  <si>
    <t>Basculer le P du formateur en F à la colonne de la session concernée, pour que son animation soit comptée dans son total d'engagement.</t>
  </si>
  <si>
    <t>Module Feedback Formation</t>
  </si>
  <si>
    <t>Onglet Formation_Feedbacks</t>
  </si>
  <si>
    <t>Une ligne par réponse individuelle. Format long. L'id_session fait le lien avec l'onglet Formations. Pas de modération : chaque feedback est visible côté dashboard.</t>
  </si>
  <si>
    <t>Workflow d'import</t>
  </si>
  <si>
    <t>Après chaque session : exporter le CSV depuis Google Sheets lié au Form, renommer en feedback_F-YYYY-NNN.csv (id_session correspondant), déposer dans imports_feedbacks/, puis lancer python scripts/import_feedbacks.py. Le script est idempotent (re-runnable sans risque de doublons).</t>
  </si>
  <si>
    <t>Colonne Rôle (Référentiel)</t>
  </si>
  <si>
    <t>Valeurs possibles</t>
  </si>
  <si>
    <t>Deux valeurs canoniques : 'consultant' (par défaut, cellule vide = consultant) et 'interne'. Un 'interne' est suivi pour son rôle d'animateur de formations mais n'est pas tracké en présence (pas de ligne dans les Saisie YYYY-MM). Le parser ne doit pas flagger un 'interne' comme incohérence d'absence de saisie.</t>
  </si>
  <si>
    <t>Aujourd'hui</t>
  </si>
  <si>
    <t>Une seule personne en 'interne' : Jérémie Kieffer (Lead PM).</t>
  </si>
  <si>
    <t>Référentiel des consultants</t>
  </si>
  <si>
    <t>Date d'entrée</t>
  </si>
  <si>
    <t>Date de sortie</t>
  </si>
  <si>
    <t>Rôle</t>
  </si>
  <si>
    <t>Bertrand Mignot</t>
  </si>
  <si>
    <t>Nacim Souni</t>
  </si>
  <si>
    <t>Anita Aladine</t>
  </si>
  <si>
    <t>Camille Chansigaud</t>
  </si>
  <si>
    <t>Emilien Rue</t>
  </si>
  <si>
    <t>Gaetan Le Bail</t>
  </si>
  <si>
    <t>Melchior R</t>
  </si>
  <si>
    <t>Nicolas Renard</t>
  </si>
  <si>
    <t>Jérémie Kieffer</t>
  </si>
  <si>
    <t>interne</t>
  </si>
  <si>
    <t>Calendrier des événements collectifs</t>
  </si>
  <si>
    <t>Date</t>
  </si>
  <si>
    <t>Type</t>
  </si>
  <si>
    <t>Libellé / Détail</t>
  </si>
  <si>
    <t>XO Product Day février</t>
  </si>
  <si>
    <t>XO Day mars</t>
  </si>
  <si>
    <t>XO Day avril</t>
  </si>
  <si>
    <t>XO Product Day mai</t>
  </si>
  <si>
    <t>XO Day mai</t>
  </si>
  <si>
    <t>XO Product Day juin</t>
  </si>
  <si>
    <t>XO Day juin</t>
  </si>
  <si>
    <t>Saisie présence — Février 2026</t>
  </si>
  <si>
    <t>Saisie présence — Mars 2026</t>
  </si>
  <si>
    <t>Saisie présence — Avril 2026</t>
  </si>
  <si>
    <t>Saisie présence — Mai 2026</t>
  </si>
  <si>
    <t>Saisie présence — Juin 2026</t>
  </si>
  <si>
    <t>mu</t>
  </si>
  <si>
    <t>Catalogue des sessions de formation</t>
  </si>
  <si>
    <t>F-2025-001</t>
  </si>
  <si>
    <t>Delivery - Essentiel - La gestion du Backlog Produit ​</t>
  </si>
  <si>
    <t>F-2025-002</t>
  </si>
  <si>
    <t>Rattrapage - Delivery - Essentiel - La gestion du Backlog Produit</t>
  </si>
  <si>
    <t>F-2025-003</t>
  </si>
  <si>
    <t>Discovery - Essentiel - Comprendre la Discovery​</t>
  </si>
  <si>
    <t>F-2025-004</t>
  </si>
  <si>
    <t>Delivery - Essentiel - MVP &amp; User Story Mapping​</t>
  </si>
  <si>
    <t>F-2025-005</t>
  </si>
  <si>
    <t>Product Expert - Essentiel - Initiation aux API : Fondamentaux et usages​</t>
  </si>
  <si>
    <t>F-2025-006</t>
  </si>
  <si>
    <t>Discovery - Essentiel - Comprendre la Discovery ​  Les différents frameworks</t>
  </si>
  <si>
    <t>F-2025-007</t>
  </si>
  <si>
    <t>Discovery - Avancé - Identifier le bon problème et les bonnes cibles​</t>
  </si>
  <si>
    <t>F-2025-008</t>
  </si>
  <si>
    <t>Rattrapage - Avancé - Discovery - Identifier le bon problème et les bonnes cibles</t>
  </si>
  <si>
    <t>F-2025-009</t>
  </si>
  <si>
    <t>IA - Essentiel - Module 1 - Intégrer l'IA et les LLM dans sa pratique de Product Manager</t>
  </si>
  <si>
    <t>Matthieu Le Corre, Anthony Mocaer</t>
  </si>
  <si>
    <t>F-2026-001</t>
  </si>
  <si>
    <t>F-2026-002</t>
  </si>
  <si>
    <t>Discovery - Avancé - Les protocoles de recherche utilisateurs​</t>
  </si>
  <si>
    <t>F-2026-003</t>
  </si>
  <si>
    <t>F-2026-004</t>
  </si>
  <si>
    <t>IA - Essentiel - Module 2 - Clarifier les terminologies clés de l’IA &amp; optimiser sa pratique des LLM</t>
  </si>
  <si>
    <t>F-2026-005</t>
  </si>
  <si>
    <t>Tech for PM - Module #1 - Les fondations : Git &amp; Frontend</t>
  </si>
  <si>
    <t>F-2026-006</t>
  </si>
  <si>
    <t>Strategy - Construire et challenger une roadmap produit</t>
  </si>
  <si>
    <t>F-2026-007</t>
  </si>
  <si>
    <t>Rattrapage IA - Module #2 - Clarifier les terminologies clés de l'IA &amp; optimiser sa pratique des LLM</t>
  </si>
  <si>
    <t>F-2026-008</t>
  </si>
  <si>
    <t>Rattrapage Tech for PM - Module #1 - Les fondations : Git &amp; Frontend</t>
  </si>
  <si>
    <t>Théo Esposito, Calixte Bailly</t>
  </si>
  <si>
    <t>F-2026-009</t>
  </si>
  <si>
    <t>Tech for PM - Module #2 - Back end et API</t>
  </si>
  <si>
    <t>F-2026-010</t>
  </si>
  <si>
    <t>Tech For PM#3 - Data Model</t>
  </si>
  <si>
    <t>Théo Esposito, Geoffroy Debellabre</t>
  </si>
  <si>
    <t>F-2026-011</t>
  </si>
  <si>
    <t>IA - Maîtriser les Skills Claude</t>
  </si>
  <si>
    <t>Participations aux sessions de formation</t>
  </si>
  <si>
    <t>Log — format long (alimentation automatique)</t>
  </si>
  <si>
    <t>Ce tableau consolide automatiquement les données de tous les onglets de saisie au format long (1 ligne = 1 jour × 1 consultant × 1 statut). C'est ce tableau qui est exporté en CSV pour alimenter le dashboard.</t>
  </si>
  <si>
    <t>Important : ne pas saisir manuellement dans cet onglet. Toute saisie se fait dans les onglets "Saisie YYYY-MM".</t>
  </si>
  <si>
    <t>Année-Mois</t>
  </si>
  <si>
    <t>Jour semaine</t>
  </si>
  <si>
    <t>Statut</t>
  </si>
  <si>
    <t>Source</t>
  </si>
  <si>
    <t>Synthèse mensuelle — KPI agrégés</t>
  </si>
  <si>
    <t>Ces KPI sont calculés automatiquement depuis les onglets de saisie mensuelle.</t>
  </si>
  <si>
    <t>Mois</t>
  </si>
  <si>
    <t>Nb consultants</t>
  </si>
  <si>
    <t>Présences totales</t>
  </si>
  <si>
    <t>Atteinte OKR (%)</t>
  </si>
  <si>
    <t>Moyenne (j)</t>
  </si>
  <si>
    <t>Venus ≥1x</t>
  </si>
  <si>
    <t>Pic du mois</t>
  </si>
  <si>
    <t>Février 2026</t>
  </si>
  <si>
    <t>À calculer manuellement / via dashboard</t>
  </si>
  <si>
    <t>Mars 2026</t>
  </si>
  <si>
    <t>Avril 2026</t>
  </si>
  <si>
    <t>Mai 2026</t>
  </si>
  <si>
    <t>Juin 2026</t>
  </si>
  <si>
    <t>Moyenne T2</t>
  </si>
  <si>
    <t>Synthèse par consultant — vue trimestrielle</t>
  </si>
  <si>
    <t>Vue par consultant : présences et statut OKR par mois (févr.→juin), plus régularité sur la période.</t>
  </si>
  <si>
    <t>Févr. 2026</t>
  </si>
  <si>
    <t>Avr. 2026</t>
  </si>
  <si>
    <t>Mois ≥2j</t>
  </si>
  <si>
    <t>Régularité</t>
  </si>
  <si>
    <t>Feedbacks Formation</t>
  </si>
  <si>
    <t>Une ligne par réponse au Google Form de feedback. L'id_session lie chaque feedback à l'onglet Formations. Alimenté par scripts/import_feedbacks.py.</t>
  </si>
  <si>
    <t>id_response</t>
  </si>
  <si>
    <t>timestamp</t>
  </si>
  <si>
    <t>note_globale</t>
  </si>
  <si>
    <t>application</t>
  </si>
  <si>
    <t>verbatim_apprecie</t>
  </si>
  <si>
    <t>verbatim_amelioration</t>
  </si>
  <si>
    <t>verbatim_commentaire</t>
  </si>
  <si>
    <t>r-001</t>
  </si>
  <si>
    <t>Oui mais j'ai besoin de plus de pratique</t>
  </si>
  <si>
    <t>Bonne préparation du use case qui permet de se rendre compte tout de suite de la portée de l’apprentissage. Ça desmystifie tout de suite bcp d’échanges que j’ai eu avec des dev, et ce en moins d’une heure de pratique. Il faut mettre le nez dedans, ça donne de l’ambition pour s’autoformer sur plein de notions tech et aller au bout du parcours de formation</t>
  </si>
  <si>
    <t>Incitation au débug en autonomie pour se préparer aux obstacles rencontrés quand le formateur n’est plus là 
Peut être étoffer le fil rouge, raconter une histoire, indiquer l’objectif de l’app et ce qui va justifier toutes les etapes</t>
  </si>
  <si>
    <t>Merci!</t>
  </si>
  <si>
    <t>r-002</t>
  </si>
  <si>
    <t>Non</t>
  </si>
  <si>
    <t>La continuité avec la session 1 de Théo</t>
  </si>
  <si>
    <t>Une meilleure mise en contexte du but de cette formation : à quel moment en tant que PO/PM je peux être confronté à des API (très rapide au début mais je pense que tout au long de la formation on doit faire un dézoom "pourquoi je fais ça, qu'est ce que ça m'apporte de connaitre cette notion à chaque étape ? avec peut être des exemples de mission où ça a été utile? "
Je trouve que la mise en pratique est sympa mais je comprends honnêtement rien à ce que je fais ... Je repars de cette formation comme j'y suis entrée sauf "npm start" et "npm run dev" mais je ne sais pas dans quel condition cela peut réellement me servir
J'ai eue l'impression qu'il n' y avait pas assez d'aide et d'explications plus poussées que "demande à l'IA de fix le bug" et voir que Alex2 est resté pendant 1h30 à essayer de rattraper la session 1 m'embête car il s'est déplacé et a donné du temps pour au final ne pas être inclus dans la formation :/ Je pense qu'il est INDISPENSABLE d'avoir fait la session 1 pour accéder sereinement à la session 2
De plus sur le fond de ces formations je pense qu'on est entrain de se perdre dans la technique pour la technique : est-ce qu'on a une vraie valeur ajoutée à faire des formations aussi poussée sur la tech ? Le niveau des consultants est trop bas je pense par rapport au prérequis que demande ces formations pour réellement en tirer un apprentissage long terme et applicable
On fait que suivre des instructions bêtement sans vraiment avoir le temps et le recul nécessaire pour comprendre
J'ai peur que les gens abandonnent rapidement ce module car le ROI est trop faible</t>
  </si>
  <si>
    <t>Merci d'avoir été le meilleur binôme/stagiaire hihi &lt;3</t>
  </si>
  <si>
    <t>r-003</t>
  </si>
  <si>
    <t>Pas sûr</t>
  </si>
  <si>
    <t>Le format Théorique light et Pratique est bon. Même si je pense que pour le coups il y a eu très peu de théorie sur cette session.</t>
  </si>
  <si>
    <t>Je n'ai pas eu de fil conducteur qui me permette de comprendre pourquoi on faisait chaque étape. Le support est perfectible notamment sur les commandes à intégrer pour les expliquer (que fait la commande) et mettre en évidence les parties de la commandes qui correspondent à des variables qui peuvent différer d'une personne à l'autres.</t>
  </si>
  <si>
    <t>J'ai trouvé que la formation était un peu vite expédiée, je pense qu'elle mériterait de prendre un peu plus de temps pour comprendre ce qu'on fait, pourquoi on le fait et ce que ca apporte pour un PM.
Exemple : quand on a fait l'api backend / frontend, ne manque t-il pas une étape pour définir une ou plusieurs variables de lien entre les cartes et l'affichage dans le backend ?</t>
  </si>
  <si>
    <t>r-004</t>
  </si>
  <si>
    <t>Evidement la mise en pratique :)</t>
  </si>
  <si>
    <t>plus de temps mais cest pas facile, c'est déjà le soir ...</t>
  </si>
  <si>
    <t>&lt;3 &lt;3</t>
  </si>
  <si>
    <t>r-005</t>
  </si>
  <si>
    <t>Oui immédiatement</t>
  </si>
  <si>
    <t>La partie théorique, toujours très claire et bien construite. C'est aussi super motivant de continuer à développer nos compétences en vibe coding. Merci à Simon pour sa pédagogie et son enthousiasme !</t>
  </si>
  <si>
    <t>1) Mieux assurer le lien entre la session 1 et la session 2 pour plus de cohérence : je pense qu'on pourrait améliorer la cohérence (je ne vois pas trop de lien entre créer un formulaire de feedback et ajouter un widget météo) 
2) Et prendre davantage le temps d'expliquer la logique des prompts IA, pas seulement les copier-coller dans l'assistant IA mais comprendre ce qu'on demande à l'IA est essentiel pour gagner en autonomie (expliquer et developper un peu plus)
3) exemple : pour l'utilisation de l'API météo, ca pourrait etre interessant de comprendre par sois meme qu'on ai besoin de la clé API, comprendre pourquoi les appels ne répondent pas car nous n'avons pas ajouté la clé dans le fichier ".env"</t>
  </si>
  <si>
    <t>Très bonne initiative de nous faire monter en compétences sur le vibe coding, continuez comme ça ! Un grand merci à Simon et à toute l'équipe pour ce travail ! 
Julien</t>
  </si>
  <si>
    <t>r-006</t>
  </si>
  <si>
    <t>Use case débrouillardise illustrant bien et retour d’expérience PM</t>
  </si>
  <si>
    <t>Pas d’avis</t>
  </si>
  <si>
    <t>Merci!!!</t>
  </si>
  <si>
    <t>r-007</t>
  </si>
  <si>
    <t>les uses cases</t>
  </si>
  <si>
    <t>Le deuxième use case est perfectible</t>
  </si>
  <si>
    <t>r-008</t>
  </si>
  <si>
    <t>La sympathie du coach</t>
  </si>
  <si>
    <t>Recommandations :
- Après la théorie, consacrer 10-15 min à la compréhension de Postman (fonctionnement de l'interface, possibilités d'interaction, etc.).
- Présenter 2-3 use cases déjà résolus pour illustrer des scénarios concrets
- Pendant le cas pratique, laisser 5min par question aux participants pour répondre, puis présenter le corrigé
- Proposer d'autres exercices à faire plus tard en autonomie
- Lister des ressources utiles pour continuer d'apprendre (autres use cases par exemple)</t>
  </si>
  <si>
    <t>Merci pour cet atelier :)</t>
  </si>
  <si>
    <t>r-009</t>
  </si>
  <si>
    <t>J'ai particulièrement apprécié le format très orienté pratique, avec une part accordée aux exercices sur Postman beaucoup plus importante que ce que l'on voit d'habitude.
Le choix de passer rapidement sur la théorie était très pertinent aussi. En tant que PO nous avons souvent déjà quelques bases, et cela nous a évité de perdre du temps sur des concepts déjà connus.</t>
  </si>
  <si>
    <t>Pour moi il faut changer le cas pratique, la doc de PokeAPI est vraiment éclatée au sol, c'est pas l'idéal pour une premiere approche. Penser aussi à donner quelques indices ou pistes pendant les exercices pour éviter que certains restent bloqués sur les premières questions et ratent la suite.
Personnellement ce qui m'a perturbé est une chose assez basique. Dans la première question du cas pratique. On doit ajouter un "/limit=151" dans le endpoint, alors que nous n'avons pas du tout parlé de cela dans la présentation, du coup si on ne sait pas comment ca fonctionne on peut chercher tres longtemps... c'est dommage car au final est hyper simple.
+ Je pense que ca serait intéressant dans la partie théorie de la pres de parler de la structure d'une API (params/header/body/test etc)</t>
  </si>
  <si>
    <t>Pour moi la mise en pratique est essentielle surtout sur des sujets techniques comme celui-ci. Je pense que c’est le meilleur moyen de comprendre et de retenir. Une approche efficace que je recommande de généraliser !
Je trouve cela très bénéfique pour nous de suivre des formations plus techniques (infrastructure, code, architecture...)</t>
  </si>
  <si>
    <t>r-010</t>
  </si>
  <si>
    <t>les exercices a la fin</t>
  </si>
  <si>
    <t>la correction des exercices en séance</t>
  </si>
  <si>
    <t>merci !</t>
  </si>
  <si>
    <t>r-011</t>
  </si>
  <si>
    <t>La partie pratique</t>
  </si>
  <si>
    <t>Dans la partie pratique, j'aurais bien aimé avoir plus d'explications de la part de Simon sur la méthodologie et une démo de comment il aurait fait après chaque étape.</t>
  </si>
  <si>
    <t>RAS</t>
  </si>
  <si>
    <t>r-012</t>
  </si>
  <si>
    <t>La mise en pratique avec Postman :)</t>
  </si>
  <si>
    <t>Un peu plus de temps sur le théorique selon le niveau de l'assistance :)</t>
  </si>
  <si>
    <t>r-013</t>
  </si>
  <si>
    <t>Pratique</t>
  </si>
  <si>
    <t>Plus de schémas logiques pour aider à la compréhension 
Plus de cas d’usage mission pour un PM</t>
  </si>
  <si>
    <t>Merci l’équipe formation 🫶🏻</t>
  </si>
  <si>
    <t>r-014</t>
  </si>
  <si>
    <t>La partie théorique était top et super rythmée (alors que c’est souvent le plus « long » pour ceux qui écoutent) moi c’est la partie que j’ai préféré pour une fois avec notamment le retour de Antho qui était super intéressant !!</t>
  </si>
  <si>
    <t>La partie pratique par contre j’ai été un peu frustrée par le « peu » de temps qu’on a eue et surtout que c’était très très guidé fin on s’est pas posé beaucoup de questions : je sais pas si c’est suffisant pour que quelqu’un derrière réussisse à en refaire un tout seul en autonomie…
Mais je sais pas comment encourager les gens à le faire ! Peut être un concours de l’agent le plus wtf ??
Ou un canal dédié IA ?</t>
  </si>
  <si>
    <t>Il faudrait un suivi après ses formations par exemple qui a créé un agent IA depuis la formation dans son cadre mission ?
Proposer de bloquer un créneau de 30 min avec Antho ou Matt et repartir avec un agent IA adapté au besoin d’un consultant en mission?</t>
  </si>
  <si>
    <t>r-015</t>
  </si>
  <si>
    <t>Récupérer un assistant de prompt clé en main et pouvoir l'utiliser le jour-même.</t>
  </si>
  <si>
    <t>Comme il s'agit d'un atelier très concret et actionnable : il serait pertinent de poursuivre l'exercice avec les formateurs, de façon plus personnalisée selon les besoins spécifiques des consultants.</t>
  </si>
  <si>
    <t>Merci pour l'organisation de l'atelier :)</t>
  </si>
  <si>
    <t>r-016</t>
  </si>
  <si>
    <t>rappel des différences entre assistant agent et agent agentique / recadrage sur les bonnes pratiques de prompt</t>
  </si>
  <si>
    <t>sur l'exemple agent agentique vraiment insister sur le moment où le système est autonome. De manière très pratique à quelle moment le système fait des choses sans que j'ai besoin de le lancer pour qu'il les fasse</t>
  </si>
  <si>
    <t>coeur sur vous</t>
  </si>
  <si>
    <t>r-017</t>
  </si>
  <si>
    <t>La partie plus théorique, ça m'a permis de remettre les idées en place sur les RAG, assistants et agents</t>
  </si>
  <si>
    <t>Je pense qu'il faudrait des sessions plus longues mais pas facile le soir</t>
  </si>
  <si>
    <t>IXKO &lt;3</t>
  </si>
  <si>
    <t>r-018</t>
  </si>
  <si>
    <t>La partie pratique. Pouvoir manipuler les outils directement, ca permet de mieux se projeter dans l'utilisation quotidienne :)
Découvrir les différences entre assistant, agent, ia agentique</t>
  </si>
  <si>
    <t>Le passage sur le fonctionnement des systèmes de vecteurs mériterait d'être plus pédagogique ou illustré car c'est un concept clé qui est resté un peu flou
Bien que la création d'un assistant ait été enrichissante, j'aurais aimé pousser la pratique jusqu'à la mise en place concrète d'un agent IA. Ca pourrait etre sympas de voir comment on passe d'un simple assistant conversationnel à un agent capable de planifier et d'exécuter des actions autonomes
Pour fluidifier la partie pratique il serait préférable d'imposer un outil commun à tous les participants</t>
  </si>
  <si>
    <t>bravo pour cette formation ! C'est une formation qui donne envie de creuser le sujet et d'expérimenter davantage</t>
  </si>
  <si>
    <t>r-019</t>
  </si>
  <si>
    <t>Pas trop de théorie, de la place pour la pratique &amp; les échanges</t>
  </si>
  <si>
    <t>Sur le fond et la forme pas de soucis
L'horaire de la formation peut etre à discuter car en fin de journée on est un peu crevés
On pourrait envisager un 13h/14h parfois ?</t>
  </si>
  <si>
    <t>merci pour l'orga !</t>
  </si>
  <si>
    <t>r-020</t>
  </si>
  <si>
    <t>j'ai aimé le retour d'expérience sur le cas concret de l'agent pour la discovery</t>
  </si>
  <si>
    <t>on aurait peut être pu faire un brainstorming pour des idées d'agents à créer, agents qui peuvent servir dans la vie quotidienne d'un PM =&gt; je trouve que ça peut nous donner des idées pour des futurs agents à créer</t>
  </si>
  <si>
    <t>Je me demande si on ne pourrait pas se faire une bibliothèque partagée avec des prompts pour des agents qui nous servent au quotidien ? Merci pour la session en tous les cas !</t>
  </si>
  <si>
    <t>r-021</t>
  </si>
  <si>
    <t>Les explications claires, l'accompagnement et l'enchainement des étapes présentées par Théo + la pratique bien évidemment.</t>
  </si>
  <si>
    <t>Attention au rythme, tout le monde ne va pas forcément à la même vitesse, ce qui ne facilite pas forcément la compréhension par moment.</t>
  </si>
  <si>
    <t>r-022</t>
  </si>
  <si>
    <t>La préparation et le cas pratique. Il y avait beaucoup de flexibilité pour répondre à un objectif simple. On avoisine quotidiennement ces notions et c'est bien d'enfin mettre le nez dedans</t>
  </si>
  <si>
    <t>Sensibiliser par rapport à l'usage de l'IA et ses limites. Clairement j'en ai abusé pour customiser mon front et quand il s'agissait d'aller voir dans le code, très difficile. Peut-être ajouter des petites bonnes pratiques de vibe coding pour appliquer dans notre quotidien de PM (ce n'était pas le but de la formation)</t>
  </si>
  <si>
    <t>Très hâte de la suite de ce parcours TechforPM</t>
  </si>
  <si>
    <t>r-023</t>
  </si>
  <si>
    <t>la mise en pratique = le fait de voir concrètement à quoi sert ce que nous manipulons</t>
  </si>
  <si>
    <t>plus de contexte sur les commandes à faire dans le terminal = à quoi correspond cd, nps ..., plus de détails sur l'arborescence du front que nous créons pour bien comprendre pour quoi on créé tel variable à tel endroit</t>
  </si>
  <si>
    <t>Merciiii</t>
  </si>
  <si>
    <t>r-024</t>
  </si>
  <si>
    <t>Le projet d'acculturation technique mise en place par IKXO.</t>
  </si>
  <si>
    <t>J'ai trouvé la marche bien trop haute pour une initiation. Le format "hands-on" immédiat sur trois outils complexes nécessite des bases que je n'avais pas, et m'a semblé plus adapté à des profils ayant déjà une sensibilité technique ou une formation d'ingénieur. J'ai rapidement décroché face à la complexité des instructions, ce qui a limité l'apport de la formation pour mon quotidien de PM. Il serait peut-être pertinent de segmenter les groupes par niveau ou de proposer une version plus 'théorique' pour comprendre les flux sans forcément manipuler le code.</t>
  </si>
  <si>
    <t>Merci quand même à Théo et Jérém pour l"organisation</t>
  </si>
  <si>
    <t>r-025</t>
  </si>
  <si>
    <t>le côté travaux pratique avec Théo qui était très disponible pour chaque personne et chaque problématique (et j'ai bien galéré haha) sa maitrise du sujet qui donne vraiment envie de s'y intéresser et les parallèles fait avec les mots clés qu'on entend souvent d'un tech lead "merge request" "code review" "je vais merger ma branche" "rebase une branche" et où on sait pas exactement ce qu'il se passe derrière :)</t>
  </si>
  <si>
    <t>Peut être une introduction plus générale et accessible pour réexpliquer les principes clés, la partie pratique est un point fort mais j'étais un peu perdue dans le déroulé des actions -&gt; peut être mettre sur les slides un avancement "étape 1 : blabla" un emoji "done" étape 2 : blabla" c'est là ou on en est et les étapes suivantes en grisées -&gt; cette frise nous suit sur tout l'avancement des étapes en haut des slides comme un résumé de ce qu'on a déjà fait et ce qu'il reste à faire
Juste pour garder le recul sur ce qu'on est entrain de faire et où on en est car j'avais peu de maitrise sur les outils et les commandes donc même si Théo donnait du contexte à l'oral et des explications j'avais du mal à écouter et faire en même temps ce qui crée des décalages d'avancement chez les gens</t>
  </si>
  <si>
    <t>Je trouve la formation super intéressante surtout grâce à la passion de Théo qui nous a partagé son projet perso aussi donc c'est très motivant et inspirant en revanche en tant que PM je ne sais pas trop si je peux appliquer ça directement dans mon travail de manière aussi opérationnelle mais par contre ça me donne une bonne vision de ce que y'a sous le capot de la machine et me donne du vocabulaire et de la compréhension poussée sur ce que font les développeurs :)</t>
  </si>
  <si>
    <t>r-026</t>
  </si>
  <si>
    <t>Qu’on puisse très rapidement, mettre en pratique et voir les résultats !</t>
  </si>
  <si>
    <t>La durée, 2h c’est assez court finalement pour se genre de travaux pratiques.
Mais le soir je me doutes bien que c’est pas facile</t>
  </si>
  <si>
    <t>Théo boss formateur ❤️🫰</t>
  </si>
  <si>
    <t>r-027</t>
  </si>
  <si>
    <t>J’ai bcp aimé le côté très pratique de la formation. On ne reste pas juste dans la théorie, on manipule directement les outils (VS Code, Git, GitHub, les branches, les merge, les PR…), ce qui aide vraiment à bien comprendre.
Et franchement, c’est super intéressant d’apprendre des choses qui ne sont pas toujours faciles à trouver en ligne, même avec des formations payantes. Le fait de le voir à travers un cas simple et concret, ça rend tout beaucoup plus clair et utile pour notre métier.</t>
  </si>
  <si>
    <t>Je pense qu’il faudrait un peu plus de temps entre les étapes. Par moments, le rythme est assez soutenu, et si on bloque au début, on peut vite perdre le fil et avoir du mal à suivre la suite. Un petit temps pour poser des questions ou vérifier que tout le monde a bien compris aiderait à ne pas décrocher.
Aussi, parfois on doit recopier des informations affichées sur la presentation, si on a du retard, on peu rater ces éléments et vite etre dépassé sans moyen de reprendre le fil. On doit déranger Théo lors de sa pres ou déranger les autres pour rattraper. Ce serait plus pratique de recevoir les éléments directement (par exemple en amont ou via le canal formation) afin de pouvoir rattraper meme en solo</t>
  </si>
  <si>
    <t>Un grand merci à Théo pour cette formation, elle était vraiment top et super intéressante. Franchement, ça va beaucoup m’aider dans la compréhension des outils et dans mon quotidien. C’est hyper appréciable d’avoir ce type de session en interne.
J'ai hâte de voir la suite. C’est une super initiative et ça donne envie de progresser encore plus !
Et si possible, ce serait top d’avoir un enregistrement ou un support pour pouvoir refaire les exercices ou rattraper une session en cas d’absence. Ça permettrait de ne rien perdre et de pouvoir revoir tranquillement les points abordés
Julien</t>
  </si>
  <si>
    <t>r-028</t>
  </si>
  <si>
    <t>La pratique</t>
  </si>
  <si>
    <t>Pour ceux ayant des contraintes de PC dû au client cela n’a pas été optimal</t>
  </si>
  <si>
    <t>N/A</t>
  </si>
  <si>
    <t>r-029</t>
  </si>
  <si>
    <t>Tout, de la théorie à la pratique, c'était nickel</t>
  </si>
  <si>
    <t>Déjà envoyé en MP à l'intéressé ;)</t>
  </si>
  <si>
    <t>Vivement la prochaine</t>
  </si>
  <si>
    <t>r-030</t>
  </si>
  <si>
    <t>J’ai bien aimé le rappel des points importants d’une roadmap et la présentation des différents formats. Ça permet de voir qu’en fonction de l’audience certains formats sont plus adaptés que d’autres.
Le cas pratique à la fin était aussi super utile pour mieux retenir les choses et voir les points qu’on n’avait pas forcément bien compris.
Les slides sont top :)</t>
  </si>
  <si>
    <t>Peut-être qu’on pourrait aussi aborder la notion de priorisation, qui va vraiment de pair avec la roadmap. Je ne sais pas si c’est prévu dans une autre session de formation, mais ça serait intéressant de creuser ce sujet en complément.
On n’a pas trop abordé la question des horizons de roadmap (3 mois, 6 mois, 1 an...), ca pourrait être intéressant d’avoir un peu plus de repères là-dessus.</t>
  </si>
  <si>
    <t>Bravo et merci pour la formation ! c’était clair et utile. C’est toujours un plaisir d’y participer, on ressort avec des choses concrètes et directement réutilisables en mission.
Julien</t>
  </si>
  <si>
    <t>r-031</t>
  </si>
  <si>
    <t>Le cas pratique !!</t>
  </si>
  <si>
    <t>Au top :)</t>
  </si>
  <si>
    <t>r-032</t>
  </si>
  <si>
    <t>Mise en pratique</t>
  </si>
  <si>
    <t>Time management</t>
  </si>
  <si>
    <t>merci beaucoup !</t>
  </si>
  <si>
    <t>r-033</t>
  </si>
  <si>
    <t>Le cas d'usage</t>
  </si>
  <si>
    <t>Expliciter les éléments à prendre en compte pour la construction de la roadmap ( pourcentage d'innovation etc) , dire en fonction de l'Organisation si telle ou telle roadmap est plus adaptée, donner des REX de consultants en mission</t>
  </si>
  <si>
    <t>Mercii</t>
  </si>
  <si>
    <t>r-034</t>
  </si>
  <si>
    <t>Le mix connaissance/application, ainsi que la qualité des informations données</t>
  </si>
  <si>
    <t>un peu plus d'exemples concrets même s'il y en avait déjà</t>
  </si>
  <si>
    <t>J'ai beaucoup apprécié la session ! Merci encore</t>
  </si>
  <si>
    <t>r-035</t>
  </si>
  <si>
    <t>Les exemples concrets</t>
  </si>
  <si>
    <t>Avoir plus de temps pour la pratique</t>
  </si>
  <si>
    <t>/</t>
  </si>
  <si>
    <t>r-036</t>
  </si>
  <si>
    <t>La reprise des bases mais surtout que ce soit applicable/transférable à la mission</t>
  </si>
  <si>
    <t>une assiette de cookies tout chaud ce serait du luxe mais sinon j'ai trouvé ça top !</t>
  </si>
  <si>
    <t>c'était ni trop léger, ni trop chargé. Au top pour tout assimiler. Je pense que tu as surestimé le temps pour l'exercice, les points qu'on a fait étaient suffisants pour bien maitriser la notion</t>
  </si>
  <si>
    <t>r-037</t>
  </si>
  <si>
    <t>Anthony est bon pour garder notre attention je trouve :)</t>
  </si>
  <si>
    <t>Plus de pratique (mais en même temps on voulais tous terminer à 19h donc compliqué … à la limite commencer un peu plus tôt)</t>
  </si>
  <si>
    <t>r-038</t>
  </si>
  <si>
    <t>Bonne animation d'Antho, un mix formation et discussion informelle appuyée par des exemples concrets en mission</t>
  </si>
  <si>
    <t>Si je veux vraiment être tatillon, avoir un jeu de données prêt à l'emploi (et peut être dire concrètement lequel utilise et comment l'utiliser)</t>
  </si>
  <si>
    <t>Super formation, 1H sharp, pas trop lourd et pas inutile. Merci à Antho ! (et Matt même si il est en trian de chasser les fantômes en Ecosse)</t>
  </si>
  <si>
    <t>r-039</t>
  </si>
  <si>
    <t>Partie pratique</t>
  </si>
  <si>
    <t>Aucun, c'était synthétique &amp; efficace</t>
  </si>
  <si>
    <t>-</t>
  </si>
  <si>
    <t>r-040</t>
  </si>
  <si>
    <t>Faire sur le midi plutôt que le soir, car on s’entait que tout le monde avait envie de rentrer chez soi.</t>
  </si>
  <si>
    <t>Merci 🙏</t>
  </si>
  <si>
    <t>r-041</t>
  </si>
  <si>
    <t>La mise en pratique immédiate</t>
  </si>
  <si>
    <t>La présentation des slides était un peu brouillon. Certaines slides répétaient la précédente. Ca ne m’a pas dérangé car nous sommes entre nous mais il faut bien trouver un axe.</t>
  </si>
  <si>
    <t>Très content de cette première formation chez XO. J’ai eu l’impression que ça a duré 5 minutes.</t>
  </si>
  <si>
    <t>r-042</t>
  </si>
  <si>
    <t>Le cas pratique</t>
  </si>
  <si>
    <t>Cas pratique plus poussé avec un cas mission</t>
  </si>
  <si>
    <t>All good !</t>
  </si>
  <si>
    <t>r-043</t>
  </si>
  <si>
    <t>ça nous permet d'appréhender la manière dont travaillent les techs + les complexités associées</t>
  </si>
  <si>
    <t>Il faut peut etre envisager de faire des groupes de niveaux et adapter le scope en fonction
Certaines personnes déjà à l'aise avec ces outils avaient largement fini et d'autres comme moi on mis au moins 2H/2H15</t>
  </si>
  <si>
    <t>sujet super intéréssant</t>
  </si>
  <si>
    <t>r-044</t>
  </si>
  <si>
    <t>La pratique 💜</t>
  </si>
  <si>
    <t>Bah les formations techniques demandent plus de temps donc dans l’idéal on aurait du commencer à 17h pour bien avoir le temps de tout faire</t>
  </si>
  <si>
    <t>Commencer les formation lus tôt 17h 😆</t>
  </si>
  <si>
    <t>r-045</t>
  </si>
  <si>
    <t>deep into tech. mieux comprendre le quotidien de mes devs</t>
  </si>
  <si>
    <t>timing de la session. il faut plus de temps</t>
  </si>
  <si>
    <t>non</t>
  </si>
  <si>
    <t>r-046</t>
  </si>
  <si>
    <t>La disponibilité des formateurs, l'ambiance de travail et la découverte du sujet</t>
  </si>
  <si>
    <t>Tout dépend ce que l'on souhaite faire mais soit il faut rendre la session plus didactique (montrer ce qu'on doit faire pas à pas) ou alors pas d'amélioration et on garde cet esprit plus de découverte et d'exploration (ce qui peut amener à des erreurs. Ex : un dossier initial mal enregistré qui pose un pb dans la génération du code)
Quelques cheat-sheets en 2-pager auraient été cool je pense.
Autre aspect, je me suis demandé si Theo/Simon arrivaient réellement à savoir ou chaque personne étaient rendues. Je me suis dit qu'avoir un board de "check-in" pourrait être pratique pour le suivi.
Avoir un temps de réalisation pour chaque tâche aussi (au travers de la cheat-sheet) et qui soit raisonnable pour des novices</t>
  </si>
  <si>
    <t>Nous n'avons pas pu tout faire de ce qui était prévu, ça serait cool de le dire soit au début soit à la fin de comment ça se passe dans ce cas.
Dernier point, la session prend 2h (estimé 1h30 je crois). Il faut peut-être partir dans l'idée que dès le départ, nous nous arrêterons à 20h, quoi qui se passe.</t>
  </si>
  <si>
    <t>r-047</t>
  </si>
  <si>
    <t>L’aide de Théo lors d’un blocage</t>
  </si>
  <si>
    <t>Expliquer pourquoi on utilise cette commande. J’ai suivi le guide mais sans comprendre pourquoi il fallait faire les actions.</t>
  </si>
  <si>
    <t>r-048</t>
  </si>
  <si>
    <t>Grande pédagogie de Geoffroy, très visuel et le use case a permis de mettre ne pratique et de visualiser directement. Très intéressant, ça permet de comprendre la doc tech.</t>
  </si>
  <si>
    <t>Parfois il y avait des slides qui disaient la meme chose</t>
  </si>
  <si>
    <t>Merci c'était super intéressant, j'ai beaucoup apprécié !</t>
  </si>
  <si>
    <t>r-049</t>
  </si>
  <si>
    <t>Les explications théoriques de Geo et Théo étaient vraiment au bon niveau pour moi et ponctués d'exemples concrets et pertinents de leurs expériences passées : c'était super intéressant ! La partie atelier/pratique était bien amenée avec un lien tout le long de la formation Tech for PM sur le feedback hub que j'apprécie :) C'était beaucoup plus facile à suivre et à implémenter que les deux premières sessions donc bravo pour le changement d'approche!</t>
  </si>
  <si>
    <t>Un peu plus de temps pour la partie pratique mais ils l'ont très bien identifié et ont proposé une deuxième session si on souhaitait approfondir l'exemple
La forme du ppt (jeux de couleurs, coquilles) mais ça reste du détail toutes les informations/définitions importantes étaient bien présentes :)</t>
  </si>
  <si>
    <t>TIP TOP j'ai A.D.O.R.E ! Merciiiiiiiiiiiiiiii</t>
  </si>
  <si>
    <t>r-050</t>
  </si>
  <si>
    <t>L'exercice pratique de construction du data mocel</t>
  </si>
  <si>
    <t>Plus de temps de session, classique feedback aha</t>
  </si>
  <si>
    <t>Solide tandem Geogeo + Théo &lt;3</t>
  </si>
  <si>
    <t>r-051</t>
  </si>
  <si>
    <t>- théorie : j’ai appris qqch de clé techniquement 
- pratique : cas d’usage qui permet de finaliser notre compréhension</t>
  </si>
  <si>
    <t>Seulement côté slide 
Les schémas peuvent être plus parlant, ils n’aidaient pas à la compréhension 
Exemple : cohérence couleurs, relation FK, DK, trait entre les entités etc</t>
  </si>
  <si>
    <t>Merci pour le travail 🔥</t>
  </si>
  <si>
    <t>r-052</t>
  </si>
  <si>
    <t>La pédagogie de Geoffrey et l'exo pratique à la fin à plusieurs</t>
  </si>
  <si>
    <t>Passer plus de temps sur l'exo pratique, et niveau assez hétérogène donc il fallait vraiment bien suivre si on était plus débutant sur ce type de sujet (comme moi), ça allait vite parfois</t>
  </si>
  <si>
    <t>J'ai une préférence pour le format sur la pause déjeuner plutôt que le soir</t>
  </si>
  <si>
    <t>r-053</t>
  </si>
  <si>
    <t>L'aspect didactique de la session</t>
  </si>
  <si>
    <t>C'est dommage de ne pas avoir eu l'occasion d'aller au bout de l'exercice</t>
  </si>
  <si>
    <t>Bonne présence de Geoffroy et Theo pour présenter</t>
  </si>
  <si>
    <t>r-054</t>
  </si>
  <si>
    <t>La réflexion et la logique à appliquer lors de l'atelier</t>
  </si>
  <si>
    <t>Je n'ai pas forcément d'axe d'amélioration, le cas pratique n'était ni trop simple ni trop compliqué, c'était intéressant et stimulant :)</t>
  </si>
  <si>
    <t>C'était très fun !</t>
  </si>
  <si>
    <t>r-055</t>
  </si>
  <si>
    <t>Contenu très adapté pour l'appliquer directement en mission</t>
  </si>
  <si>
    <t>2 ateliers différents pour les PM &amp; la Timsit</t>
  </si>
  <si>
    <t>r-056</t>
  </si>
  <si>
    <t>Avoir des exercices pratiques applicables et adaptés selon les besoins de chacun (exercice spécifique Sales), disponibilité de Matt pour répondre aux questions.</t>
  </si>
  <si>
    <t>Début un tout petit peu redondant vs la précédente formation IA mais intéressant pour ceux qui ont loupé la formation.</t>
  </si>
  <si>
    <t>Super intéressant et applicable directement, merci Matt pour ton aide et ta dispo !!</t>
  </si>
  <si>
    <t>r-057</t>
  </si>
  <si>
    <t>Les ateliers et le step by step</t>
  </si>
  <si>
    <t>Je n'ai pas pu aller au bout des 2 ateliers dans le temps dédié - ça aurait été top d'avoir la description des skills en amont pour les lires et être préparés pour l'application derrière car c'est la partie qui m'a pris le plus de temps</t>
  </si>
  <si>
    <t>r-058</t>
  </si>
  <si>
    <t>La configuration des Skills :)</t>
  </si>
  <si>
    <t>r-059</t>
  </si>
  <si>
    <t>Théorie appliquée avec des slides très claires</t>
  </si>
  <si>
    <t>Rien !</t>
  </si>
  <si>
    <t>Merci pour le travail</t>
  </si>
  <si>
    <t>r-060</t>
  </si>
  <si>
    <t>ça correspondait pile au moment où j'avais franchi le pas de passer au forfait pro pour commencer claude donc ça m'a éviter de méparpiller</t>
  </si>
  <si>
    <t>pour le moment effectivement la formation n'est vraiment intéressante et opérationnable QUE si on paye de notre poche une license pro</t>
  </si>
  <si>
    <t>je trouve que l'idée d'Alex de devoir boire un shot à chaque fois que le présentateur dit Claude, est à essayer</t>
  </si>
  <si>
    <t>r-061</t>
  </si>
  <si>
    <t>les exos pratiques</t>
  </si>
  <si>
    <t>peut être donner un contexte produit fake pour voir vraiment comment ca fonctionne quand on ne peut pas mettre des données client car elles sont confidentielles + proposer une liste d'idées de skills + faire plus de lien entre skills et agent IA</t>
  </si>
  <si>
    <t>r-062</t>
  </si>
  <si>
    <t>Les explications hyper claires et les 2 exos pratiques</t>
  </si>
  <si>
    <t>Juste le temps de la session, 1h30 c'était rapide pour tout appréhender mais ça donne une bonne base</t>
  </si>
  <si>
    <t>Merci beaucoup ! Je pense reprendre les slides et exos de la formation pour refaire des cas pratiques</t>
  </si>
  <si>
    <t>r-063</t>
  </si>
  <si>
    <t>Passer rapidement aux exercices et surtout les consignes super claires pour ne pas se perdre.</t>
  </si>
  <si>
    <t>Franchement 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</si>
</sst>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40C]ddd\ dd"/>
    <numFmt numFmtId="166" formatCode="m/d/yyyy\ h:mm"/>
  </numFmts>
  <fonts count="10">
    <font>
      <sz val="11"/>
      <color theme="1"/>
      <name val="Calibri"/>
      <family val="2"/>
      <charset val="1"/>
    </font>
    <font>
      <sz val="12"/>
      <color theme="1"/>
      <name val="Calibri"/>
      <family val="2"/>
      <charset val="1"/>
    </font>
    <font>
      <b/>
      <sz val="11"/>
      <name val="Cambria"/>
      <family val="1"/>
      <charset val="1"/>
    </font>
    <font>
      <b/>
      <sz val="14"/>
      <name val="Inter"/>
      <charset val="1"/>
    </font>
    <font>
      <b/>
      <sz val="12"/>
      <name val="Inter"/>
      <charset val="1"/>
    </font>
    <font>
      <sz val="11"/>
      <name val="Inter"/>
      <charset val="1"/>
    </font>
    <font>
      <b/>
      <sz val="12"/>
      <color rgb="FF6B7280"/>
      <name val="Inter"/>
      <charset val="1"/>
    </font>
    <font>
      <sz val="11"/>
      <color rgb="FF9CA3AF"/>
      <name val="Inter"/>
      <charset val="1"/>
    </font>
    <font>
      <b/>
      <sz val="14"/>
      <color rgb="FF0C3867"/>
      <name val="Cambria"/>
      <family val="1"/>
      <charset val="1"/>
    </font>
    <font>
      <i/>
      <sz val="10"/>
      <color rgb="FF6E7480"/>
      <name val="Cambria"/>
      <family val="1"/>
      <charset val="1"/>
    </font>
  </fonts>
  <fills count="8">
    <fill>
      <patternFill patternType="none"/>
    </fill>
    <fill>
      <patternFill patternType="gray125"/>
    </fill>
    <fill>
      <patternFill patternType="solid">
        <fgColor rgb="FFF3F4F6"/>
        <bgColor rgb="FFF1F1F1"/>
      </patternFill>
    </fill>
    <fill>
      <patternFill patternType="solid">
        <fgColor rgb="FFD1FAE5"/>
        <bgColor rgb="FFE7F0EA"/>
      </patternFill>
    </fill>
    <fill>
      <patternFill patternType="solid">
        <fgColor rgb="FFE5E7EB"/>
        <bgColor rgb="FFE7F0EA"/>
      </patternFill>
    </fill>
    <fill>
      <patternFill patternType="solid">
        <fgColor rgb="FFFEF3C7"/>
        <bgColor rgb="FFFFF1D1"/>
      </patternFill>
    </fill>
    <fill>
      <patternFill patternType="solid">
        <fgColor rgb="FFE9D5FF"/>
        <bgColor rgb="FFE5E7EB"/>
      </patternFill>
    </fill>
    <fill>
      <patternFill patternType="solid">
        <fgColor rgb="FFF1F1F1"/>
        <bgColor rgb="FFF3F4F6"/>
      </patternFill>
    </fill>
  </fills>
  <borders count="8">
    <border>
      <left/>
      <right/>
      <top/>
      <bottom/>
      <diagonal/>
    </border>
    <border>
      <left/>
      <right/>
      <top/>
      <bottom style="thin">
        <color rgb="FFD1D5DB"/>
      </bottom>
      <diagonal/>
    </border>
    <border>
      <left style="medium">
        <color rgb="FF9CA3AF"/>
      </left>
      <right/>
      <top/>
      <bottom style="thin">
        <color rgb="FFD1D5DB"/>
      </bottom>
      <diagonal/>
    </border>
    <border>
      <left style="medium">
        <color rgb="FF9CA3AF"/>
      </left>
      <right/>
      <top/>
      <bottom/>
      <diagonal/>
    </border>
    <border>
      <left/>
      <right/>
      <top/>
      <bottom style="thin">
        <color auto="1"/>
      </bottom>
      <diagonal/>
    </border>
    <border>
      <left style="medium">
        <color auto="1"/>
      </left>
      <right/>
      <top/>
      <bottom style="thin">
        <color auto="1"/>
      </bottom>
      <diagonal/>
    </border>
    <border>
      <left style="medium">
        <color auto="1"/>
      </left>
      <right/>
      <top/>
      <bottom/>
      <diagonal/>
    </border>
    <border>
      <left/>
      <right/>
      <top style="thin">
        <color rgb="FFD5D5D5"/>
      </top>
      <bottom style="thin">
        <color rgb="FFD5D5D5"/>
      </bottom>
      <diagonal/>
    </border>
  </borders>
  <cellStyleXfs count="1">
    <xf numFmtId="0" fontId="0" fillId="0" borderId="0"/>
  </cellStyleXfs>
  <cellXfs count="44">
    <xf numFmtId="0" fontId="0" fillId="0" borderId="0" xfId="0"/>
    <xf numFmtId="0" fontId="1" fillId="0" borderId="0" xfId="0" applyFont="1"/>
    <xf numFmtId="0" fontId="2" fillId="0" borderId="0" xfId="0" applyFont="1"/>
    <xf numFmtId="0" fontId="0" fillId="0" borderId="0" xfId="0" applyAlignment="1">
      <alignment vertical="top" wrapText="1"/>
    </xf>
    <xf numFmtId="164" fontId="0" fillId="0" borderId="0" xfId="0" applyNumberFormat="1"/>
    <xf numFmtId="164" fontId="1" fillId="0" borderId="0" xfId="0" applyNumberFormat="1" applyFont="1"/>
    <xf numFmtId="0" fontId="3" fillId="0" borderId="0" xfId="0" applyFont="1"/>
    <xf numFmtId="0" fontId="4" fillId="2" borderId="1" xfId="0" applyFont="1" applyFill="1" applyBorder="1" applyAlignment="1">
      <alignment horizontal="left" vertical="center"/>
    </xf>
    <xf numFmtId="165" fontId="4" fillId="2" borderId="1" xfId="0" applyNumberFormat="1" applyFont="1" applyFill="1" applyBorder="1" applyAlignment="1">
      <alignment horizontal="center" vertical="center"/>
    </xf>
    <xf numFmtId="165" fontId="4" fillId="2" borderId="2" xfId="0" applyNumberFormat="1" applyFont="1" applyFill="1" applyBorder="1" applyAlignment="1">
      <alignment horizontal="center" vertical="center"/>
    </xf>
    <xf numFmtId="0" fontId="4" fillId="2" borderId="2" xfId="0" applyFont="1" applyFill="1" applyBorder="1" applyAlignment="1">
      <alignment horizontal="center" vertical="center"/>
    </xf>
    <xf numFmtId="0" fontId="4" fillId="2" borderId="1" xfId="0" applyFont="1" applyFill="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0" fontId="5" fillId="0" borderId="3" xfId="0" applyFont="1" applyBorder="1" applyAlignment="1">
      <alignment horizontal="center" vertical="center"/>
    </xf>
    <xf numFmtId="0" fontId="5" fillId="3" borderId="0" xfId="0" applyFont="1" applyFill="1" applyAlignment="1">
      <alignment horizontal="center" vertical="center"/>
    </xf>
    <xf numFmtId="0" fontId="4" fillId="0" borderId="3" xfId="0" applyFont="1" applyBorder="1" applyAlignment="1">
      <alignment horizontal="center" vertical="center"/>
    </xf>
    <xf numFmtId="0" fontId="5" fillId="4" borderId="0" xfId="0" applyFont="1" applyFill="1" applyAlignment="1">
      <alignment horizontal="center" vertical="center"/>
    </xf>
    <xf numFmtId="0" fontId="5" fillId="4" borderId="3" xfId="0" applyFont="1" applyFill="1" applyBorder="1" applyAlignment="1">
      <alignment horizontal="center" vertical="center"/>
    </xf>
    <xf numFmtId="0" fontId="5" fillId="5" borderId="0" xfId="0" applyFont="1" applyFill="1" applyAlignment="1">
      <alignment horizontal="center" vertical="center"/>
    </xf>
    <xf numFmtId="0" fontId="5" fillId="5" borderId="3" xfId="0" applyFont="1" applyFill="1" applyBorder="1" applyAlignment="1">
      <alignment horizontal="center" vertical="center"/>
    </xf>
    <xf numFmtId="0" fontId="5" fillId="3" borderId="3" xfId="0" applyFont="1" applyFill="1" applyBorder="1" applyAlignment="1">
      <alignment horizontal="center" vertical="center"/>
    </xf>
    <xf numFmtId="0" fontId="6" fillId="0" borderId="0" xfId="0" applyFont="1"/>
    <xf numFmtId="0" fontId="4" fillId="0" borderId="0" xfId="0" applyFont="1" applyAlignment="1">
      <alignment horizontal="left" vertical="center"/>
    </xf>
    <xf numFmtId="0" fontId="5" fillId="6" borderId="0" xfId="0" applyFont="1" applyFill="1" applyAlignment="1">
      <alignment horizontal="center" vertical="center"/>
    </xf>
    <xf numFmtId="0" fontId="4" fillId="2" borderId="4" xfId="0" applyFont="1" applyFill="1" applyBorder="1" applyAlignment="1">
      <alignment horizontal="left" vertical="center"/>
    </xf>
    <xf numFmtId="165" fontId="4" fillId="2" borderId="4" xfId="0" applyNumberFormat="1" applyFont="1" applyFill="1" applyBorder="1" applyAlignment="1">
      <alignment horizontal="center" vertical="center"/>
    </xf>
    <xf numFmtId="165" fontId="4" fillId="2" borderId="5" xfId="0" applyNumberFormat="1" applyFont="1" applyFill="1" applyBorder="1" applyAlignment="1">
      <alignment horizontal="center" vertical="center"/>
    </xf>
    <xf numFmtId="0" fontId="4" fillId="2" borderId="5" xfId="0" applyFont="1" applyFill="1" applyBorder="1" applyAlignment="1">
      <alignment horizontal="center" vertical="center"/>
    </xf>
    <xf numFmtId="0" fontId="4" fillId="2" borderId="4" xfId="0" applyFont="1" applyFill="1" applyBorder="1" applyAlignment="1">
      <alignment horizontal="center" vertical="center"/>
    </xf>
    <xf numFmtId="0" fontId="5" fillId="0" borderId="6" xfId="0" applyFont="1" applyBorder="1" applyAlignment="1">
      <alignment horizontal="center" vertical="center"/>
    </xf>
    <xf numFmtId="0" fontId="4" fillId="0" borderId="6" xfId="0" applyFont="1" applyBorder="1" applyAlignment="1">
      <alignment horizontal="center" vertical="center"/>
    </xf>
    <xf numFmtId="0" fontId="4" fillId="0" borderId="0" xfId="0" applyFont="1" applyAlignment="1">
      <alignment horizontal="center" vertical="center"/>
    </xf>
    <xf numFmtId="0" fontId="6" fillId="0" borderId="0" xfId="0" applyFont="1" applyAlignment="1">
      <alignment vertical="center"/>
    </xf>
    <xf numFmtId="0" fontId="4" fillId="2" borderId="0" xfId="0" applyFont="1" applyFill="1" applyAlignment="1">
      <alignment horizontal="left" vertical="center"/>
    </xf>
    <xf numFmtId="0" fontId="7" fillId="0" borderId="0" xfId="0" applyFont="1" applyAlignment="1">
      <alignment horizontal="left" vertical="center"/>
    </xf>
    <xf numFmtId="0" fontId="2" fillId="7" borderId="7" xfId="0" applyFont="1" applyFill="1" applyBorder="1" applyAlignment="1">
      <alignment horizontal="left" vertical="center"/>
    </xf>
    <xf numFmtId="166" fontId="0" fillId="0" borderId="0" xfId="0" applyNumberFormat="1"/>
    <xf numFmtId="22" fontId="0" fillId="0" borderId="0" xfId="0" applyNumberFormat="1"/>
    <xf numFmtId="0" fontId="0" fillId="0" borderId="0" xfId="0" applyAlignment="1">
      <alignment vertical="top" wrapText="1"/>
    </xf>
    <xf numFmtId="0" fontId="0" fillId="0" borderId="0" xfId="0"/>
    <xf numFmtId="0" fontId="3" fillId="0" borderId="0" xfId="0" applyFont="1"/>
    <xf numFmtId="0" fontId="9" fillId="0" borderId="0" xfId="0" applyFont="1" applyAlignment="1">
      <alignment vertical="top" wrapText="1"/>
    </xf>
    <xf numFmtId="0" fontId="8" fillId="0" borderId="0" xfId="0" applyFont="1"/>
  </cellXfs>
  <cellStyles count="1">
    <cellStyle name="Normal" xfId="0" builtinId="0"/>
  </cellStyles>
  <dxfs count="31">
    <dxf>
      <fill>
        <patternFill>
          <bgColor rgb="FFC8DFD1"/>
        </patternFill>
      </fill>
    </dxf>
    <dxf>
      <fill>
        <patternFill>
          <bgColor rgb="FFE7F0EA"/>
        </patternFill>
      </fill>
    </dxf>
    <dxf>
      <fill>
        <patternFill>
          <bgColor rgb="FFF1F1F1"/>
        </patternFill>
      </fill>
    </dxf>
    <dxf>
      <fill>
        <patternFill>
          <bgColor rgb="FFFFF1D1"/>
        </patternFill>
      </fill>
    </dxf>
    <dxf>
      <fill>
        <patternFill>
          <bgColor rgb="FFFFDFC2"/>
        </patternFill>
      </fill>
    </dxf>
    <dxf>
      <fill>
        <patternFill>
          <bgColor rgb="FFD1FAE5"/>
        </patternFill>
      </fill>
    </dxf>
    <dxf>
      <fill>
        <patternFill>
          <bgColor rgb="FFDBEAFE"/>
        </patternFill>
      </fill>
    </dxf>
    <dxf>
      <fill>
        <patternFill>
          <bgColor rgb="FFE9D5FF"/>
        </patternFill>
      </fill>
    </dxf>
    <dxf>
      <fill>
        <patternFill>
          <bgColor rgb="FFE5E7EB"/>
        </patternFill>
      </fill>
    </dxf>
    <dxf>
      <fill>
        <patternFill>
          <bgColor rgb="FFFEF3C7"/>
        </patternFill>
      </fill>
    </dxf>
    <dxf>
      <fill>
        <patternFill>
          <bgColor rgb="FFD1FAE5"/>
        </patternFill>
      </fill>
    </dxf>
    <dxf>
      <fill>
        <patternFill>
          <bgColor rgb="FFE9D5FF"/>
        </patternFill>
      </fill>
    </dxf>
    <dxf>
      <fill>
        <patternFill>
          <bgColor rgb="FFE5E7EB"/>
        </patternFill>
      </fill>
    </dxf>
    <dxf>
      <fill>
        <patternFill>
          <bgColor rgb="FFFEF3C7"/>
        </patternFill>
      </fill>
    </dxf>
    <dxf>
      <fill>
        <patternFill>
          <bgColor rgb="FFD1FAE5"/>
        </patternFill>
      </fill>
    </dxf>
    <dxf>
      <fill>
        <patternFill>
          <bgColor rgb="FFE9D5FF"/>
        </patternFill>
      </fill>
    </dxf>
    <dxf>
      <fill>
        <patternFill>
          <bgColor rgb="FFE5E7EB"/>
        </patternFill>
      </fill>
    </dxf>
    <dxf>
      <fill>
        <patternFill>
          <bgColor rgb="FFFEF3C7"/>
        </patternFill>
      </fill>
    </dxf>
    <dxf>
      <fill>
        <patternFill>
          <bgColor rgb="FFD1FAE5"/>
        </patternFill>
      </fill>
    </dxf>
    <dxf>
      <fill>
        <patternFill>
          <bgColor rgb="FFE9D5FF"/>
        </patternFill>
      </fill>
    </dxf>
    <dxf>
      <fill>
        <patternFill>
          <bgColor rgb="FFE5E7EB"/>
        </patternFill>
      </fill>
    </dxf>
    <dxf>
      <fill>
        <patternFill>
          <bgColor rgb="FFFEF3C7"/>
        </patternFill>
      </fill>
    </dxf>
    <dxf>
      <fill>
        <patternFill>
          <bgColor rgb="FFD1FAE5"/>
        </patternFill>
      </fill>
    </dxf>
    <dxf>
      <fill>
        <patternFill>
          <bgColor rgb="FFE9D5FF"/>
        </patternFill>
      </fill>
    </dxf>
    <dxf>
      <fill>
        <patternFill>
          <bgColor rgb="FFE5E7EB"/>
        </patternFill>
      </fill>
    </dxf>
    <dxf>
      <fill>
        <patternFill>
          <bgColor rgb="FFFEF3C7"/>
        </patternFill>
      </fill>
    </dxf>
    <dxf>
      <fill>
        <patternFill>
          <bgColor rgb="FFD1FAE5"/>
        </patternFill>
      </fill>
    </dxf>
    <dxf>
      <fill>
        <patternFill>
          <bgColor rgb="FFE9D5FF"/>
        </patternFill>
      </fill>
    </dxf>
    <dxf>
      <fill>
        <patternFill>
          <bgColor rgb="FFE5E7EB"/>
        </patternFill>
      </fill>
    </dxf>
    <dxf>
      <fill>
        <patternFill>
          <bgColor rgb="FFFEF3C7"/>
        </patternFill>
      </fill>
    </dxf>
    <dxf>
      <fill>
        <patternFill>
          <bgColor rgb="FFD1FAE5"/>
        </patternFill>
      </fill>
    </dxf>
  </dxfs>
  <tableStyles count="0" defaultTableStyle="TableStyleMedium2" defaultPivotStyle="PivotStyleLight16"/>
  <colors>
    <indexedColors>
      <rgbColor rgb="FF000000"/>
      <rgbColor rgb="FFF3F4F6"/>
      <rgbColor rgb="FFFF0000"/>
      <rgbColor rgb="FF00FF00"/>
      <rgbColor rgb="FF0000FF"/>
      <rgbColor rgb="FFF1F1F1"/>
      <rgbColor rgb="FFFF00FF"/>
      <rgbColor rgb="FF00FFFF"/>
      <rgbColor rgb="FF800000"/>
      <rgbColor rgb="FF008000"/>
      <rgbColor rgb="FF000080"/>
      <rgbColor rgb="FF808000"/>
      <rgbColor rgb="FF800080"/>
      <rgbColor rgb="FF008080"/>
      <rgbColor rgb="FFD5D5D5"/>
      <rgbColor rgb="FF6E7480"/>
      <rgbColor rgb="FF9999FF"/>
      <rgbColor rgb="FF993366"/>
      <rgbColor rgb="FFFEF3C7"/>
      <rgbColor rgb="FFDBEAFE"/>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E7F0EA"/>
      <rgbColor rgb="FFD1FAE5"/>
      <rgbColor rgb="FFFFF1D1"/>
      <rgbColor rgb="FFC8DFD1"/>
      <rgbColor rgb="FFE5E7EB"/>
      <rgbColor rgb="FFE9D5FF"/>
      <rgbColor rgb="FFFFDFC2"/>
      <rgbColor rgb="FF3366FF"/>
      <rgbColor rgb="FF33CCCC"/>
      <rgbColor rgb="FF99CC00"/>
      <rgbColor rgb="FFFFCC00"/>
      <rgbColor rgb="FFFF9900"/>
      <rgbColor rgb="FFFF6600"/>
      <rgbColor rgb="FF6B7280"/>
      <rgbColor rgb="FF9CA3AF"/>
      <rgbColor rgb="FF0C3867"/>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5"/>
  <sheetViews>
    <sheetView zoomScaleNormal="100" workbookViewId="0"/>
  </sheetViews>
  <sheetFormatPr baseColWidth="10" defaultColWidth="10.6640625" defaultRowHeight="15"/>
  <sheetData>
    <row r="1" spans="1:3" ht="15.75" customHeight="1">
      <c r="A1" s="1" t="s">
        <v>34</v>
      </c>
    </row>
    <row r="3" spans="1:3" ht="15.75" customHeight="1">
      <c r="A3" s="1" t="s">
        <v>35</v>
      </c>
    </row>
    <row r="5" spans="1:3" ht="15.75" customHeight="1">
      <c r="A5" s="1" t="s">
        <v>36</v>
      </c>
    </row>
    <row r="6" spans="1:3" ht="15.75" customHeight="1">
      <c r="A6" s="1" t="s">
        <v>37</v>
      </c>
      <c r="B6" s="1" t="s">
        <v>38</v>
      </c>
      <c r="C6" s="1" t="s">
        <v>39</v>
      </c>
    </row>
    <row r="7" spans="1:3" ht="15.75" customHeight="1">
      <c r="A7" s="1" t="s">
        <v>40</v>
      </c>
      <c r="B7" s="1" t="s">
        <v>41</v>
      </c>
      <c r="C7" s="1" t="s">
        <v>42</v>
      </c>
    </row>
    <row r="8" spans="1:3" ht="15.75" customHeight="1">
      <c r="A8" s="1" t="s">
        <v>6</v>
      </c>
      <c r="B8" s="1" t="s">
        <v>43</v>
      </c>
      <c r="C8" s="1" t="s">
        <v>44</v>
      </c>
    </row>
    <row r="9" spans="1:3" ht="15.75" customHeight="1">
      <c r="A9" s="1" t="s">
        <v>45</v>
      </c>
      <c r="B9" s="1" t="s">
        <v>46</v>
      </c>
      <c r="C9" s="1" t="s">
        <v>47</v>
      </c>
    </row>
    <row r="10" spans="1:3" ht="15.75" customHeight="1">
      <c r="A10" s="1" t="s">
        <v>48</v>
      </c>
      <c r="B10" s="1" t="s">
        <v>49</v>
      </c>
      <c r="C10" s="1" t="s">
        <v>50</v>
      </c>
    </row>
    <row r="11" spans="1:3" ht="15.75" customHeight="1">
      <c r="A11" s="1" t="s">
        <v>51</v>
      </c>
      <c r="B11" s="1" t="s">
        <v>52</v>
      </c>
      <c r="C11" s="1" t="s">
        <v>53</v>
      </c>
    </row>
    <row r="13" spans="1:3" ht="15.75" customHeight="1">
      <c r="A13" s="1" t="s">
        <v>54</v>
      </c>
    </row>
    <row r="14" spans="1:3" ht="15.75" customHeight="1">
      <c r="A14" s="1" t="s">
        <v>55</v>
      </c>
    </row>
    <row r="15" spans="1:3" ht="15.75" customHeight="1">
      <c r="A15" s="1" t="s">
        <v>56</v>
      </c>
    </row>
    <row r="16" spans="1:3" ht="15.75" customHeight="1">
      <c r="A16" s="1" t="s">
        <v>57</v>
      </c>
    </row>
    <row r="17" spans="1:3" ht="15.75" customHeight="1">
      <c r="A17" s="1" t="s">
        <v>58</v>
      </c>
    </row>
    <row r="18" spans="1:3" ht="15.75" customHeight="1">
      <c r="A18" s="1" t="s">
        <v>59</v>
      </c>
    </row>
    <row r="21" spans="1:3" ht="15.75" customHeight="1">
      <c r="A21" s="1" t="s">
        <v>60</v>
      </c>
    </row>
    <row r="22" spans="1:3" ht="15.75" customHeight="1">
      <c r="A22" s="1" t="s">
        <v>61</v>
      </c>
    </row>
    <row r="24" spans="1:3" ht="15" customHeight="1">
      <c r="A24" s="2" t="s">
        <v>62</v>
      </c>
    </row>
    <row r="25" spans="1:3" ht="15" customHeight="1">
      <c r="A25" s="2" t="s">
        <v>37</v>
      </c>
      <c r="B25" s="2" t="s">
        <v>38</v>
      </c>
      <c r="C25" s="2" t="s">
        <v>39</v>
      </c>
    </row>
    <row r="26" spans="1:3" ht="15" customHeight="1">
      <c r="A26" t="s">
        <v>63</v>
      </c>
      <c r="B26" t="s">
        <v>64</v>
      </c>
      <c r="C26" t="s">
        <v>65</v>
      </c>
    </row>
    <row r="27" spans="1:3" ht="15" customHeight="1">
      <c r="A27" t="s">
        <v>66</v>
      </c>
      <c r="B27" t="s">
        <v>67</v>
      </c>
      <c r="C27" t="s">
        <v>68</v>
      </c>
    </row>
    <row r="28" spans="1:3" ht="15" customHeight="1">
      <c r="A28" t="s">
        <v>45</v>
      </c>
      <c r="B28" t="s">
        <v>69</v>
      </c>
      <c r="C28" t="s">
        <v>70</v>
      </c>
    </row>
    <row r="30" spans="1:3" ht="15" customHeight="1">
      <c r="A30" s="2" t="s">
        <v>71</v>
      </c>
    </row>
    <row r="31" spans="1:3" ht="15" customHeight="1">
      <c r="A31" t="s">
        <v>72</v>
      </c>
      <c r="B31" t="s">
        <v>73</v>
      </c>
    </row>
    <row r="32" spans="1:3" ht="15" customHeight="1">
      <c r="A32" t="s">
        <v>74</v>
      </c>
      <c r="B32" t="s">
        <v>75</v>
      </c>
    </row>
    <row r="33" spans="1:3" ht="15" customHeight="1">
      <c r="A33" t="s">
        <v>76</v>
      </c>
      <c r="B33" t="s">
        <v>77</v>
      </c>
    </row>
    <row r="34" spans="1:3" ht="15" customHeight="1">
      <c r="A34" t="s">
        <v>78</v>
      </c>
      <c r="B34" t="s">
        <v>79</v>
      </c>
    </row>
    <row r="35" spans="1:3" ht="15" customHeight="1">
      <c r="A35" t="s">
        <v>80</v>
      </c>
      <c r="B35" t="s">
        <v>81</v>
      </c>
    </row>
    <row r="37" spans="1:3" ht="15" customHeight="1">
      <c r="A37" s="2" t="s">
        <v>82</v>
      </c>
    </row>
    <row r="38" spans="1:3" ht="30" customHeight="1">
      <c r="A38" s="39" t="s">
        <v>83</v>
      </c>
      <c r="B38" s="40"/>
      <c r="C38" s="40"/>
    </row>
    <row r="40" spans="1:3" ht="15" customHeight="1">
      <c r="A40" s="2" t="s">
        <v>84</v>
      </c>
    </row>
    <row r="41" spans="1:3" ht="45" customHeight="1">
      <c r="A41" t="s">
        <v>85</v>
      </c>
      <c r="B41" s="3" t="s">
        <v>86</v>
      </c>
    </row>
    <row r="42" spans="1:3" ht="30" customHeight="1">
      <c r="A42" t="s">
        <v>87</v>
      </c>
      <c r="B42" s="3" t="s">
        <v>88</v>
      </c>
    </row>
    <row r="43" spans="1:3" ht="19.5" customHeight="1">
      <c r="A43" t="s">
        <v>89</v>
      </c>
      <c r="B43" s="3" t="s">
        <v>90</v>
      </c>
    </row>
    <row r="45" spans="1:3" ht="15" customHeight="1">
      <c r="A45" s="2" t="s">
        <v>91</v>
      </c>
    </row>
    <row r="46" spans="1:3" ht="30" customHeight="1">
      <c r="A46" t="s">
        <v>92</v>
      </c>
      <c r="B46" s="3" t="s">
        <v>93</v>
      </c>
    </row>
    <row r="47" spans="1:3" ht="30" customHeight="1">
      <c r="A47" t="s">
        <v>94</v>
      </c>
      <c r="B47" s="3" t="s">
        <v>95</v>
      </c>
    </row>
    <row r="49" spans="1:2" ht="15" customHeight="1">
      <c r="A49" s="2" t="s">
        <v>96</v>
      </c>
    </row>
    <row r="50" spans="1:2" ht="39.75" customHeight="1">
      <c r="A50" t="s">
        <v>97</v>
      </c>
      <c r="B50" s="3" t="s">
        <v>98</v>
      </c>
    </row>
    <row r="51" spans="1:2" ht="60" customHeight="1">
      <c r="A51" t="s">
        <v>99</v>
      </c>
      <c r="B51" s="3" t="s">
        <v>100</v>
      </c>
    </row>
    <row r="53" spans="1:2" ht="15" customHeight="1">
      <c r="A53" s="2" t="s">
        <v>101</v>
      </c>
    </row>
    <row r="54" spans="1:2" ht="79.5" customHeight="1">
      <c r="A54" t="s">
        <v>102</v>
      </c>
      <c r="B54" s="3" t="s">
        <v>103</v>
      </c>
    </row>
    <row r="55" spans="1:2" ht="81.75" customHeight="1">
      <c r="A55" t="s">
        <v>104</v>
      </c>
      <c r="B55" s="3" t="s">
        <v>105</v>
      </c>
    </row>
  </sheetData>
  <mergeCells count="1">
    <mergeCell ref="A38:C38"/>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
  <sheetViews>
    <sheetView zoomScaleNormal="100" workbookViewId="0">
      <selection activeCell="C6" sqref="C6"/>
    </sheetView>
  </sheetViews>
  <sheetFormatPr baseColWidth="10" defaultColWidth="10.6640625" defaultRowHeight="15"/>
  <cols>
    <col min="4" max="4" width="14" customWidth="1"/>
  </cols>
  <sheetData>
    <row r="1" spans="1:4" ht="15.75" customHeight="1">
      <c r="A1" s="1" t="s">
        <v>106</v>
      </c>
    </row>
    <row r="3" spans="1:4" ht="15.75" customHeight="1">
      <c r="A3" s="1" t="s">
        <v>1</v>
      </c>
      <c r="B3" s="1" t="s">
        <v>107</v>
      </c>
      <c r="C3" s="1" t="s">
        <v>108</v>
      </c>
      <c r="D3" s="1" t="s">
        <v>109</v>
      </c>
    </row>
    <row r="4" spans="1:4" ht="15.75" customHeight="1">
      <c r="A4" s="1" t="s">
        <v>15</v>
      </c>
    </row>
    <row r="5" spans="1:4" ht="15.75" customHeight="1">
      <c r="A5" s="1" t="s">
        <v>29</v>
      </c>
    </row>
    <row r="6" spans="1:4" ht="15.75" customHeight="1">
      <c r="A6" s="1" t="s">
        <v>24</v>
      </c>
    </row>
    <row r="7" spans="1:4" ht="15.75" customHeight="1">
      <c r="A7" s="1" t="s">
        <v>14</v>
      </c>
    </row>
    <row r="8" spans="1:4" ht="15.75" customHeight="1">
      <c r="A8" s="1" t="s">
        <v>11</v>
      </c>
    </row>
    <row r="9" spans="1:4" ht="15.75" customHeight="1">
      <c r="A9" s="1" t="s">
        <v>23</v>
      </c>
    </row>
    <row r="10" spans="1:4" ht="15.75" customHeight="1">
      <c r="A10" s="1" t="s">
        <v>110</v>
      </c>
      <c r="C10" s="4">
        <v>46178</v>
      </c>
    </row>
    <row r="11" spans="1:4" ht="15.75" customHeight="1">
      <c r="A11" s="1" t="s">
        <v>7</v>
      </c>
    </row>
    <row r="12" spans="1:4" ht="15.75" customHeight="1">
      <c r="A12" s="1" t="s">
        <v>19</v>
      </c>
      <c r="C12" s="4">
        <v>46218</v>
      </c>
    </row>
    <row r="13" spans="1:4" ht="15.75" customHeight="1">
      <c r="A13" s="1" t="s">
        <v>25</v>
      </c>
      <c r="B13" s="5">
        <v>46082</v>
      </c>
    </row>
    <row r="14" spans="1:4" ht="15.75" customHeight="1">
      <c r="A14" s="1" t="s">
        <v>4</v>
      </c>
    </row>
    <row r="15" spans="1:4" ht="15.75" customHeight="1">
      <c r="A15" s="1" t="s">
        <v>17</v>
      </c>
    </row>
    <row r="16" spans="1:4" ht="15.75" customHeight="1">
      <c r="A16" s="1" t="s">
        <v>26</v>
      </c>
    </row>
    <row r="17" spans="1:3" ht="15.75" customHeight="1">
      <c r="A17" s="1" t="s">
        <v>22</v>
      </c>
    </row>
    <row r="18" spans="1:3" ht="15.75" customHeight="1">
      <c r="A18" s="1" t="s">
        <v>20</v>
      </c>
    </row>
    <row r="19" spans="1:3" ht="15.75" customHeight="1">
      <c r="A19" s="1" t="s">
        <v>13</v>
      </c>
    </row>
    <row r="20" spans="1:3" ht="15.75" customHeight="1">
      <c r="A20" s="1" t="s">
        <v>10</v>
      </c>
      <c r="C20" s="4">
        <v>46218</v>
      </c>
    </row>
    <row r="21" spans="1:3" ht="15.75" customHeight="1">
      <c r="A21" s="1" t="s">
        <v>8</v>
      </c>
    </row>
    <row r="22" spans="1:3" ht="15.75" customHeight="1">
      <c r="A22" s="1" t="s">
        <v>28</v>
      </c>
    </row>
    <row r="23" spans="1:3" ht="15.75" customHeight="1">
      <c r="A23" s="1" t="s">
        <v>12</v>
      </c>
    </row>
    <row r="24" spans="1:3" ht="15.75" customHeight="1">
      <c r="A24" s="1" t="s">
        <v>111</v>
      </c>
      <c r="C24" s="4">
        <v>46203</v>
      </c>
    </row>
    <row r="25" spans="1:3" ht="15.75" customHeight="1">
      <c r="A25" s="1" t="s">
        <v>27</v>
      </c>
    </row>
    <row r="26" spans="1:3" ht="15.75" customHeight="1">
      <c r="A26" s="1" t="s">
        <v>21</v>
      </c>
    </row>
    <row r="27" spans="1:3" ht="15.75" customHeight="1">
      <c r="A27" s="1" t="s">
        <v>16</v>
      </c>
    </row>
    <row r="28" spans="1:3" ht="15.75" customHeight="1">
      <c r="A28" s="1" t="s">
        <v>18</v>
      </c>
    </row>
    <row r="29" spans="1:3" ht="15.75" customHeight="1">
      <c r="A29" s="1" t="s">
        <v>5</v>
      </c>
    </row>
    <row r="30" spans="1:3" ht="15" customHeight="1">
      <c r="A30" t="s">
        <v>112</v>
      </c>
      <c r="C30" s="4">
        <v>46053</v>
      </c>
    </row>
    <row r="31" spans="1:3" ht="15" customHeight="1">
      <c r="A31" t="s">
        <v>113</v>
      </c>
      <c r="C31" s="4">
        <v>46022</v>
      </c>
    </row>
    <row r="32" spans="1:3" ht="15" customHeight="1">
      <c r="A32" t="s">
        <v>114</v>
      </c>
      <c r="C32" s="4">
        <v>45777</v>
      </c>
    </row>
    <row r="33" spans="1:4" ht="15" customHeight="1">
      <c r="A33" t="s">
        <v>115</v>
      </c>
      <c r="C33" s="4">
        <v>45747</v>
      </c>
    </row>
    <row r="34" spans="1:4" ht="15" customHeight="1">
      <c r="A34" t="s">
        <v>116</v>
      </c>
      <c r="C34" s="4">
        <v>45930</v>
      </c>
    </row>
    <row r="35" spans="1:4" ht="15" customHeight="1">
      <c r="A35" t="s">
        <v>117</v>
      </c>
      <c r="C35" s="4">
        <v>45960</v>
      </c>
    </row>
    <row r="36" spans="1:4" ht="15" customHeight="1">
      <c r="A36" t="s">
        <v>118</v>
      </c>
      <c r="B36" s="4">
        <v>45078</v>
      </c>
      <c r="D36" t="s">
        <v>119</v>
      </c>
    </row>
    <row r="37" spans="1:4" ht="15" customHeight="1">
      <c r="A37" t="s">
        <v>9</v>
      </c>
      <c r="B37" s="4">
        <v>46174</v>
      </c>
      <c r="C37" s="4">
        <v>46218</v>
      </c>
    </row>
    <row r="38" spans="1:4" ht="15" customHeight="1"/>
    <row r="39" spans="1:4" ht="15" customHeight="1"/>
    <row r="40" spans="1:4" ht="15" customHeight="1"/>
    <row r="41" spans="1:4" ht="15" customHeight="1"/>
    <row r="42" spans="1:4" ht="15" customHeight="1"/>
    <row r="43" spans="1:4" ht="15" customHeight="1"/>
    <row r="44" spans="1:4" ht="15" customHeight="1"/>
    <row r="45" spans="1:4" ht="15" customHeight="1"/>
    <row r="46" spans="1:4" ht="15" customHeight="1"/>
    <row r="47" spans="1:4" ht="15" customHeight="1"/>
    <row r="48" spans="1:4"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sheetData>
  <dataValidations count="1">
    <dataValidation type="list" allowBlank="1" sqref="D4:D100" xr:uid="{00000000-0002-0000-0100-000000000000}">
      <formula1>"consultant,interne"</formula1>
      <formula2>0</formula2>
    </dataValidation>
  </dataValidation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
  <sheetViews>
    <sheetView zoomScaleNormal="100" workbookViewId="0"/>
  </sheetViews>
  <sheetFormatPr baseColWidth="10" defaultColWidth="10.6640625" defaultRowHeight="15"/>
  <sheetData>
    <row r="1" spans="1:3" ht="15.75" customHeight="1">
      <c r="A1" s="1" t="s">
        <v>120</v>
      </c>
    </row>
    <row r="2" spans="1:3" ht="15" customHeight="1"/>
    <row r="3" spans="1:3" ht="15.75" customHeight="1">
      <c r="A3" s="1" t="s">
        <v>121</v>
      </c>
      <c r="B3" s="1" t="s">
        <v>122</v>
      </c>
      <c r="C3" s="1" t="s">
        <v>123</v>
      </c>
    </row>
    <row r="4" spans="1:3" ht="15.75" customHeight="1">
      <c r="A4" s="1">
        <v>46072</v>
      </c>
      <c r="B4" s="1" t="s">
        <v>32</v>
      </c>
      <c r="C4" s="1" t="s">
        <v>124</v>
      </c>
    </row>
    <row r="5" spans="1:3" ht="15.75" customHeight="1">
      <c r="A5" s="1">
        <v>46107</v>
      </c>
      <c r="B5" s="1" t="s">
        <v>31</v>
      </c>
      <c r="C5" s="1" t="s">
        <v>125</v>
      </c>
    </row>
    <row r="6" spans="1:3" ht="15.75" customHeight="1">
      <c r="A6" s="1">
        <v>46135</v>
      </c>
      <c r="B6" s="1" t="s">
        <v>31</v>
      </c>
      <c r="C6" s="1" t="s">
        <v>126</v>
      </c>
    </row>
    <row r="7" spans="1:3" ht="15" customHeight="1">
      <c r="A7" s="1">
        <v>46148</v>
      </c>
      <c r="B7" s="1" t="s">
        <v>32</v>
      </c>
      <c r="C7" s="1" t="s">
        <v>127</v>
      </c>
    </row>
    <row r="8" spans="1:3" ht="15" customHeight="1">
      <c r="A8" s="1">
        <v>46170</v>
      </c>
      <c r="B8" s="1" t="s">
        <v>31</v>
      </c>
      <c r="C8" s="1" t="s">
        <v>128</v>
      </c>
    </row>
    <row r="9" spans="1:3" ht="15" customHeight="1">
      <c r="A9" s="1">
        <v>46182</v>
      </c>
      <c r="B9" s="1" t="s">
        <v>32</v>
      </c>
      <c r="C9" s="1" t="s">
        <v>129</v>
      </c>
    </row>
    <row r="10" spans="1:3" ht="15" customHeight="1">
      <c r="A10" s="1">
        <v>46192</v>
      </c>
      <c r="B10" s="1" t="s">
        <v>31</v>
      </c>
      <c r="C10" s="1" t="s">
        <v>130</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33"/>
  <sheetViews>
    <sheetView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8.83203125" defaultRowHeight="15"/>
  <cols>
    <col min="1" max="1" width="26" customWidth="1"/>
    <col min="2" max="22" width="8" customWidth="1"/>
    <col min="23" max="23" width="18" customWidth="1"/>
  </cols>
  <sheetData>
    <row r="1" spans="1:23" ht="21.75" customHeight="1">
      <c r="A1" s="41" t="s">
        <v>131</v>
      </c>
      <c r="B1" s="40"/>
      <c r="C1" s="40"/>
      <c r="D1" s="40"/>
      <c r="E1" s="40"/>
      <c r="F1" s="40"/>
      <c r="G1" s="40"/>
      <c r="H1" s="40"/>
      <c r="I1" s="40"/>
      <c r="J1" s="40"/>
      <c r="K1" s="40"/>
      <c r="L1" s="40"/>
      <c r="M1" s="40"/>
      <c r="N1" s="40"/>
      <c r="O1" s="40"/>
      <c r="P1" s="40"/>
      <c r="Q1" s="40"/>
      <c r="R1" s="40"/>
      <c r="S1" s="40"/>
      <c r="T1" s="40"/>
      <c r="U1" s="40"/>
      <c r="V1" s="40"/>
      <c r="W1" s="40"/>
    </row>
    <row r="3" spans="1:23" ht="21.75" customHeight="1">
      <c r="A3" s="7" t="s">
        <v>1</v>
      </c>
      <c r="B3" s="8">
        <v>46055</v>
      </c>
      <c r="C3" s="8">
        <v>46056</v>
      </c>
      <c r="D3" s="8">
        <v>46057</v>
      </c>
      <c r="E3" s="8">
        <v>46058</v>
      </c>
      <c r="F3" s="8">
        <v>46059</v>
      </c>
      <c r="G3" s="9">
        <v>46062</v>
      </c>
      <c r="H3" s="8">
        <v>46063</v>
      </c>
      <c r="I3" s="8">
        <v>46064</v>
      </c>
      <c r="J3" s="8">
        <v>46065</v>
      </c>
      <c r="K3" s="8">
        <v>46066</v>
      </c>
      <c r="L3" s="9">
        <v>46069</v>
      </c>
      <c r="M3" s="8">
        <v>46070</v>
      </c>
      <c r="N3" s="8">
        <v>46071</v>
      </c>
      <c r="O3" s="8">
        <v>46072</v>
      </c>
      <c r="P3" s="8">
        <v>46073</v>
      </c>
      <c r="Q3" s="9">
        <v>46076</v>
      </c>
      <c r="R3" s="8">
        <v>46077</v>
      </c>
      <c r="S3" s="8">
        <v>46078</v>
      </c>
      <c r="T3" s="8">
        <v>46079</v>
      </c>
      <c r="U3" s="8">
        <v>46080</v>
      </c>
      <c r="V3" s="10" t="s">
        <v>2</v>
      </c>
      <c r="W3" s="11" t="s">
        <v>3</v>
      </c>
    </row>
    <row r="4" spans="1:23" ht="18" customHeight="1">
      <c r="A4" s="12" t="s">
        <v>4</v>
      </c>
      <c r="B4" s="13"/>
      <c r="C4" s="13"/>
      <c r="D4" s="13"/>
      <c r="E4" s="13"/>
      <c r="F4" s="13"/>
      <c r="G4" s="14"/>
      <c r="H4" s="15">
        <v>1</v>
      </c>
      <c r="I4" s="13"/>
      <c r="J4" s="13"/>
      <c r="K4" s="13"/>
      <c r="L4" s="14"/>
      <c r="M4" s="13"/>
      <c r="N4" s="13"/>
      <c r="O4" s="15">
        <v>1</v>
      </c>
      <c r="P4" s="13"/>
      <c r="Q4" s="14"/>
      <c r="R4" s="15">
        <v>1</v>
      </c>
      <c r="S4" s="13"/>
      <c r="T4" s="13"/>
      <c r="U4" s="13"/>
      <c r="V4" s="16">
        <f t="shared" ref="V4:V28" si="0">COUNTIF(B4:U4,1)+COUNTIF(B4:U4,"IC")</f>
        <v>3</v>
      </c>
      <c r="W4" s="13" t="str">
        <f t="shared" ref="W4:W28" si="1">IF(COUNTIF(B4:U4,"M")&gt;0,"N/A absence longue",IF(V4&gt;=2,"Atteint","Sous objectif"))</f>
        <v>Atteint</v>
      </c>
    </row>
    <row r="5" spans="1:23" ht="18" customHeight="1">
      <c r="A5" s="12" t="s">
        <v>5</v>
      </c>
      <c r="B5" s="17" t="s">
        <v>48</v>
      </c>
      <c r="C5" s="17" t="s">
        <v>48</v>
      </c>
      <c r="D5" s="17" t="s">
        <v>48</v>
      </c>
      <c r="E5" s="17" t="s">
        <v>48</v>
      </c>
      <c r="F5" s="17" t="s">
        <v>48</v>
      </c>
      <c r="G5" s="18" t="s">
        <v>48</v>
      </c>
      <c r="H5" s="17" t="s">
        <v>48</v>
      </c>
      <c r="I5" s="17" t="s">
        <v>48</v>
      </c>
      <c r="J5" s="17" t="s">
        <v>48</v>
      </c>
      <c r="K5" s="17" t="s">
        <v>48</v>
      </c>
      <c r="L5" s="18" t="s">
        <v>48</v>
      </c>
      <c r="M5" s="17" t="s">
        <v>48</v>
      </c>
      <c r="N5" s="17" t="s">
        <v>48</v>
      </c>
      <c r="O5" s="17" t="s">
        <v>48</v>
      </c>
      <c r="P5" s="17" t="s">
        <v>48</v>
      </c>
      <c r="Q5" s="18" t="s">
        <v>48</v>
      </c>
      <c r="R5" s="17" t="s">
        <v>48</v>
      </c>
      <c r="S5" s="17" t="s">
        <v>48</v>
      </c>
      <c r="T5" s="17" t="s">
        <v>48</v>
      </c>
      <c r="U5" s="17" t="s">
        <v>48</v>
      </c>
      <c r="V5" s="16">
        <f t="shared" si="0"/>
        <v>0</v>
      </c>
      <c r="W5" s="13" t="str">
        <f t="shared" si="1"/>
        <v>N/A absence longue</v>
      </c>
    </row>
    <row r="6" spans="1:23" ht="18" customHeight="1">
      <c r="A6" s="12" t="s">
        <v>7</v>
      </c>
      <c r="B6" s="13"/>
      <c r="C6" s="13"/>
      <c r="D6" s="13"/>
      <c r="E6" s="13"/>
      <c r="F6" s="13"/>
      <c r="G6" s="14"/>
      <c r="H6" s="13"/>
      <c r="I6" s="13"/>
      <c r="J6" s="13"/>
      <c r="K6" s="13"/>
      <c r="L6" s="14"/>
      <c r="M6" s="13"/>
      <c r="N6" s="13"/>
      <c r="O6" s="15">
        <v>1</v>
      </c>
      <c r="P6" s="13"/>
      <c r="Q6" s="14"/>
      <c r="R6" s="13"/>
      <c r="S6" s="13"/>
      <c r="T6" s="13"/>
      <c r="U6" s="13"/>
      <c r="V6" s="16">
        <f t="shared" si="0"/>
        <v>1</v>
      </c>
      <c r="W6" s="13" t="str">
        <f t="shared" si="1"/>
        <v>Sous objectif</v>
      </c>
    </row>
    <row r="7" spans="1:23" ht="18" customHeight="1">
      <c r="A7" s="12" t="s">
        <v>8</v>
      </c>
      <c r="B7" s="13"/>
      <c r="C7" s="15">
        <v>1</v>
      </c>
      <c r="D7" s="13"/>
      <c r="E7" s="15">
        <v>1</v>
      </c>
      <c r="F7" s="13"/>
      <c r="G7" s="14"/>
      <c r="H7" s="13"/>
      <c r="I7" s="13"/>
      <c r="J7" s="15">
        <v>1</v>
      </c>
      <c r="K7" s="13"/>
      <c r="L7" s="14"/>
      <c r="M7" s="13"/>
      <c r="N7" s="13"/>
      <c r="O7" s="15">
        <v>1</v>
      </c>
      <c r="P7" s="13"/>
      <c r="Q7" s="14"/>
      <c r="R7" s="15">
        <v>1</v>
      </c>
      <c r="S7" s="13"/>
      <c r="T7" s="13"/>
      <c r="U7" s="13"/>
      <c r="V7" s="16">
        <f t="shared" si="0"/>
        <v>5</v>
      </c>
      <c r="W7" s="13" t="str">
        <f t="shared" si="1"/>
        <v>Atteint</v>
      </c>
    </row>
    <row r="8" spans="1:23" ht="18" customHeight="1">
      <c r="A8" s="12" t="s">
        <v>10</v>
      </c>
      <c r="B8" s="19" t="s">
        <v>6</v>
      </c>
      <c r="C8" s="19" t="s">
        <v>6</v>
      </c>
      <c r="D8" s="13"/>
      <c r="E8" s="19" t="s">
        <v>6</v>
      </c>
      <c r="F8" s="13"/>
      <c r="G8" s="14"/>
      <c r="H8" s="19" t="s">
        <v>6</v>
      </c>
      <c r="I8" s="19" t="s">
        <v>6</v>
      </c>
      <c r="J8" s="19" t="s">
        <v>6</v>
      </c>
      <c r="K8" s="13"/>
      <c r="L8" s="20" t="s">
        <v>6</v>
      </c>
      <c r="M8" s="19" t="s">
        <v>6</v>
      </c>
      <c r="N8" s="13"/>
      <c r="O8" s="13"/>
      <c r="P8" s="13"/>
      <c r="Q8" s="20" t="s">
        <v>6</v>
      </c>
      <c r="R8" s="19" t="s">
        <v>6</v>
      </c>
      <c r="S8" s="13"/>
      <c r="T8" s="19" t="s">
        <v>6</v>
      </c>
      <c r="U8" s="13"/>
      <c r="V8" s="16">
        <f t="shared" si="0"/>
        <v>11</v>
      </c>
      <c r="W8" s="13" t="str">
        <f t="shared" si="1"/>
        <v>Atteint</v>
      </c>
    </row>
    <row r="9" spans="1:23" ht="18" customHeight="1">
      <c r="A9" s="12" t="s">
        <v>11</v>
      </c>
      <c r="B9" s="13"/>
      <c r="C9" s="13"/>
      <c r="D9" s="13"/>
      <c r="E9" s="13"/>
      <c r="F9" s="13"/>
      <c r="G9" s="14"/>
      <c r="H9" s="13"/>
      <c r="I9" s="13"/>
      <c r="J9" s="13"/>
      <c r="K9" s="13"/>
      <c r="L9" s="14"/>
      <c r="M9" s="13"/>
      <c r="N9" s="13"/>
      <c r="O9" s="15">
        <v>1</v>
      </c>
      <c r="P9" s="13"/>
      <c r="Q9" s="14"/>
      <c r="R9" s="13"/>
      <c r="S9" s="13"/>
      <c r="T9" s="13"/>
      <c r="U9" s="13"/>
      <c r="V9" s="16">
        <f t="shared" si="0"/>
        <v>1</v>
      </c>
      <c r="W9" s="13" t="str">
        <f t="shared" si="1"/>
        <v>Sous objectif</v>
      </c>
    </row>
    <row r="10" spans="1:23" ht="18" customHeight="1">
      <c r="A10" s="12" t="s">
        <v>12</v>
      </c>
      <c r="B10" s="13"/>
      <c r="C10" s="15">
        <v>1</v>
      </c>
      <c r="D10" s="13"/>
      <c r="E10" s="15">
        <v>1</v>
      </c>
      <c r="F10" s="13"/>
      <c r="G10" s="14"/>
      <c r="H10" s="15">
        <v>1</v>
      </c>
      <c r="I10" s="13"/>
      <c r="J10" s="15">
        <v>1</v>
      </c>
      <c r="K10" s="13"/>
      <c r="L10" s="14"/>
      <c r="M10" s="15">
        <v>1</v>
      </c>
      <c r="N10" s="13"/>
      <c r="O10" s="15">
        <v>1</v>
      </c>
      <c r="P10" s="13"/>
      <c r="Q10" s="14"/>
      <c r="R10" s="15">
        <v>1</v>
      </c>
      <c r="S10" s="13"/>
      <c r="T10" s="15">
        <v>1</v>
      </c>
      <c r="U10" s="13"/>
      <c r="V10" s="16">
        <f t="shared" si="0"/>
        <v>8</v>
      </c>
      <c r="W10" s="13" t="str">
        <f t="shared" si="1"/>
        <v>Atteint</v>
      </c>
    </row>
    <row r="11" spans="1:23" ht="18" customHeight="1">
      <c r="A11" s="12" t="s">
        <v>13</v>
      </c>
      <c r="B11" s="13"/>
      <c r="C11" s="13"/>
      <c r="D11" s="13"/>
      <c r="E11" s="13"/>
      <c r="F11" s="13"/>
      <c r="G11" s="14"/>
      <c r="H11" s="13"/>
      <c r="I11" s="13"/>
      <c r="J11" s="13"/>
      <c r="K11" s="13"/>
      <c r="L11" s="14"/>
      <c r="M11" s="13"/>
      <c r="N11" s="13"/>
      <c r="O11" s="13"/>
      <c r="P11" s="13"/>
      <c r="Q11" s="14"/>
      <c r="R11" s="13"/>
      <c r="S11" s="13"/>
      <c r="T11" s="13"/>
      <c r="U11" s="13"/>
      <c r="V11" s="16">
        <f t="shared" si="0"/>
        <v>0</v>
      </c>
      <c r="W11" s="13" t="str">
        <f t="shared" si="1"/>
        <v>Sous objectif</v>
      </c>
    </row>
    <row r="12" spans="1:23" ht="18" customHeight="1">
      <c r="A12" s="12" t="s">
        <v>14</v>
      </c>
      <c r="B12" s="15">
        <v>1</v>
      </c>
      <c r="C12" s="15">
        <v>1</v>
      </c>
      <c r="D12" s="13"/>
      <c r="E12" s="15">
        <v>1</v>
      </c>
      <c r="F12" s="13"/>
      <c r="G12" s="14"/>
      <c r="H12" s="13"/>
      <c r="I12" s="13"/>
      <c r="J12" s="13"/>
      <c r="K12" s="13"/>
      <c r="L12" s="14"/>
      <c r="M12" s="13"/>
      <c r="N12" s="13"/>
      <c r="O12" s="13"/>
      <c r="P12" s="13"/>
      <c r="Q12" s="14"/>
      <c r="R12" s="15">
        <v>1</v>
      </c>
      <c r="S12" s="13"/>
      <c r="T12" s="13"/>
      <c r="U12" s="13"/>
      <c r="V12" s="16">
        <f t="shared" si="0"/>
        <v>4</v>
      </c>
      <c r="W12" s="13" t="str">
        <f t="shared" si="1"/>
        <v>Atteint</v>
      </c>
    </row>
    <row r="13" spans="1:23" ht="18" customHeight="1">
      <c r="A13" s="12" t="s">
        <v>15</v>
      </c>
      <c r="B13" s="13"/>
      <c r="C13" s="13"/>
      <c r="D13" s="13"/>
      <c r="E13" s="13"/>
      <c r="F13" s="13"/>
      <c r="G13" s="14"/>
      <c r="H13" s="13"/>
      <c r="I13" s="13"/>
      <c r="J13" s="13"/>
      <c r="K13" s="13"/>
      <c r="L13" s="14"/>
      <c r="M13" s="13"/>
      <c r="N13" s="13"/>
      <c r="O13" s="13"/>
      <c r="P13" s="13"/>
      <c r="Q13" s="14"/>
      <c r="R13" s="13"/>
      <c r="S13" s="13"/>
      <c r="T13" s="13"/>
      <c r="U13" s="13"/>
      <c r="V13" s="16">
        <f t="shared" si="0"/>
        <v>0</v>
      </c>
      <c r="W13" s="13" t="str">
        <f t="shared" si="1"/>
        <v>Sous objectif</v>
      </c>
    </row>
    <row r="14" spans="1:23" ht="18" customHeight="1">
      <c r="A14" s="12" t="s">
        <v>16</v>
      </c>
      <c r="B14" s="13"/>
      <c r="C14" s="15">
        <v>1</v>
      </c>
      <c r="D14" s="13"/>
      <c r="E14" s="13"/>
      <c r="F14" s="13"/>
      <c r="G14" s="14"/>
      <c r="H14" s="15">
        <v>1</v>
      </c>
      <c r="I14" s="13"/>
      <c r="J14" s="13"/>
      <c r="K14" s="13"/>
      <c r="L14" s="14"/>
      <c r="M14" s="13"/>
      <c r="N14" s="13"/>
      <c r="O14" s="13"/>
      <c r="P14" s="13"/>
      <c r="Q14" s="14"/>
      <c r="R14" s="15">
        <v>1</v>
      </c>
      <c r="S14" s="13"/>
      <c r="T14" s="13"/>
      <c r="U14" s="13"/>
      <c r="V14" s="16">
        <f t="shared" si="0"/>
        <v>3</v>
      </c>
      <c r="W14" s="13" t="str">
        <f t="shared" si="1"/>
        <v>Atteint</v>
      </c>
    </row>
    <row r="15" spans="1:23" ht="18" customHeight="1">
      <c r="A15" s="12" t="s">
        <v>17</v>
      </c>
      <c r="B15" s="13"/>
      <c r="C15" s="13"/>
      <c r="D15" s="13"/>
      <c r="E15" s="13"/>
      <c r="F15" s="13"/>
      <c r="G15" s="14"/>
      <c r="H15" s="15">
        <v>1</v>
      </c>
      <c r="I15" s="13"/>
      <c r="J15" s="13"/>
      <c r="K15" s="13"/>
      <c r="L15" s="14"/>
      <c r="M15" s="13"/>
      <c r="N15" s="13"/>
      <c r="O15" s="15">
        <v>1</v>
      </c>
      <c r="P15" s="13"/>
      <c r="Q15" s="14"/>
      <c r="R15" s="13"/>
      <c r="S15" s="13"/>
      <c r="T15" s="13"/>
      <c r="U15" s="13"/>
      <c r="V15" s="16">
        <f t="shared" si="0"/>
        <v>2</v>
      </c>
      <c r="W15" s="13" t="str">
        <f t="shared" si="1"/>
        <v>Atteint</v>
      </c>
    </row>
    <row r="16" spans="1:23" ht="18" customHeight="1">
      <c r="A16" s="12" t="s">
        <v>18</v>
      </c>
      <c r="B16" s="13"/>
      <c r="C16" s="13"/>
      <c r="D16" s="13"/>
      <c r="E16" s="13"/>
      <c r="F16" s="13"/>
      <c r="G16" s="14"/>
      <c r="H16" s="15">
        <v>1</v>
      </c>
      <c r="I16" s="13"/>
      <c r="J16" s="13"/>
      <c r="K16" s="13"/>
      <c r="L16" s="14"/>
      <c r="M16" s="13"/>
      <c r="N16" s="13"/>
      <c r="O16" s="15">
        <v>1</v>
      </c>
      <c r="P16" s="13"/>
      <c r="Q16" s="14"/>
      <c r="R16" s="15">
        <v>1</v>
      </c>
      <c r="S16" s="13"/>
      <c r="T16" s="13"/>
      <c r="U16" s="13"/>
      <c r="V16" s="16">
        <f t="shared" si="0"/>
        <v>3</v>
      </c>
      <c r="W16" s="13" t="str">
        <f t="shared" si="1"/>
        <v>Atteint</v>
      </c>
    </row>
    <row r="17" spans="1:23" ht="18" customHeight="1">
      <c r="A17" s="12" t="s">
        <v>19</v>
      </c>
      <c r="B17" s="13"/>
      <c r="C17" s="13"/>
      <c r="D17" s="13"/>
      <c r="E17" s="13"/>
      <c r="F17" s="13"/>
      <c r="G17" s="14"/>
      <c r="H17" s="13"/>
      <c r="I17" s="13"/>
      <c r="J17" s="13"/>
      <c r="K17" s="13"/>
      <c r="L17" s="14"/>
      <c r="M17" s="13"/>
      <c r="N17" s="13"/>
      <c r="O17" s="13"/>
      <c r="P17" s="13"/>
      <c r="Q17" s="14"/>
      <c r="R17" s="13"/>
      <c r="S17" s="13"/>
      <c r="T17" s="13"/>
      <c r="U17" s="13"/>
      <c r="V17" s="16">
        <f t="shared" si="0"/>
        <v>0</v>
      </c>
      <c r="W17" s="13" t="str">
        <f t="shared" si="1"/>
        <v>Sous objectif</v>
      </c>
    </row>
    <row r="18" spans="1:23" ht="18" customHeight="1">
      <c r="A18" s="12" t="s">
        <v>20</v>
      </c>
      <c r="B18" s="13"/>
      <c r="C18" s="13"/>
      <c r="D18" s="13"/>
      <c r="E18" s="13"/>
      <c r="F18" s="13"/>
      <c r="G18" s="14"/>
      <c r="H18" s="15">
        <v>1</v>
      </c>
      <c r="I18" s="13"/>
      <c r="J18" s="13"/>
      <c r="K18" s="13"/>
      <c r="L18" s="14"/>
      <c r="M18" s="15">
        <v>1</v>
      </c>
      <c r="N18" s="13"/>
      <c r="O18" s="15">
        <v>1</v>
      </c>
      <c r="P18" s="13"/>
      <c r="Q18" s="14"/>
      <c r="R18" s="13"/>
      <c r="S18" s="13"/>
      <c r="T18" s="13"/>
      <c r="U18" s="13"/>
      <c r="V18" s="16">
        <f t="shared" si="0"/>
        <v>3</v>
      </c>
      <c r="W18" s="13" t="str">
        <f t="shared" si="1"/>
        <v>Atteint</v>
      </c>
    </row>
    <row r="19" spans="1:23" ht="18" customHeight="1">
      <c r="A19" s="12" t="s">
        <v>21</v>
      </c>
      <c r="B19" s="13"/>
      <c r="C19" s="13"/>
      <c r="D19" s="13"/>
      <c r="E19" s="13"/>
      <c r="F19" s="13"/>
      <c r="G19" s="14"/>
      <c r="H19" s="15">
        <v>1</v>
      </c>
      <c r="I19" s="13"/>
      <c r="J19" s="13"/>
      <c r="K19" s="13"/>
      <c r="L19" s="14"/>
      <c r="M19" s="13"/>
      <c r="N19" s="13"/>
      <c r="O19" s="13"/>
      <c r="P19" s="13"/>
      <c r="Q19" s="14"/>
      <c r="R19" s="13"/>
      <c r="S19" s="13"/>
      <c r="T19" s="13"/>
      <c r="U19" s="13"/>
      <c r="V19" s="16">
        <f t="shared" si="0"/>
        <v>1</v>
      </c>
      <c r="W19" s="13" t="str">
        <f t="shared" si="1"/>
        <v>Sous objectif</v>
      </c>
    </row>
    <row r="20" spans="1:23" ht="18" customHeight="1">
      <c r="A20" s="12" t="s">
        <v>22</v>
      </c>
      <c r="B20" s="13"/>
      <c r="C20" s="13"/>
      <c r="D20" s="13"/>
      <c r="E20" s="13"/>
      <c r="F20" s="13"/>
      <c r="G20" s="14"/>
      <c r="H20" s="15">
        <v>1</v>
      </c>
      <c r="I20" s="13"/>
      <c r="J20" s="13"/>
      <c r="K20" s="13"/>
      <c r="L20" s="14"/>
      <c r="M20" s="13"/>
      <c r="N20" s="13"/>
      <c r="O20" s="15">
        <v>1</v>
      </c>
      <c r="P20" s="13"/>
      <c r="Q20" s="14"/>
      <c r="R20" s="13"/>
      <c r="S20" s="13"/>
      <c r="T20" s="13"/>
      <c r="U20" s="13"/>
      <c r="V20" s="16">
        <f t="shared" si="0"/>
        <v>2</v>
      </c>
      <c r="W20" s="13" t="str">
        <f t="shared" si="1"/>
        <v>Atteint</v>
      </c>
    </row>
    <row r="21" spans="1:23" ht="18" customHeight="1">
      <c r="A21" s="12" t="s">
        <v>23</v>
      </c>
      <c r="B21" s="13"/>
      <c r="C21" s="13"/>
      <c r="D21" s="13"/>
      <c r="E21" s="13"/>
      <c r="F21" s="13"/>
      <c r="G21" s="14"/>
      <c r="H21" s="15">
        <v>1</v>
      </c>
      <c r="I21" s="13"/>
      <c r="J21" s="13"/>
      <c r="K21" s="13"/>
      <c r="L21" s="14"/>
      <c r="M21" s="13"/>
      <c r="N21" s="13"/>
      <c r="O21" s="15">
        <v>1</v>
      </c>
      <c r="P21" s="13"/>
      <c r="Q21" s="14"/>
      <c r="R21" s="13"/>
      <c r="S21" s="13"/>
      <c r="T21" s="13"/>
      <c r="U21" s="13"/>
      <c r="V21" s="16">
        <f t="shared" si="0"/>
        <v>2</v>
      </c>
      <c r="W21" s="13" t="str">
        <f t="shared" si="1"/>
        <v>Atteint</v>
      </c>
    </row>
    <row r="22" spans="1:23" ht="18" customHeight="1">
      <c r="A22" s="12" t="s">
        <v>110</v>
      </c>
      <c r="B22" s="13"/>
      <c r="C22" s="13"/>
      <c r="D22" s="13"/>
      <c r="E22" s="13"/>
      <c r="F22" s="13"/>
      <c r="G22" s="14"/>
      <c r="H22" s="15">
        <v>1</v>
      </c>
      <c r="I22" s="13"/>
      <c r="J22" s="13"/>
      <c r="K22" s="13"/>
      <c r="L22" s="14"/>
      <c r="M22" s="13"/>
      <c r="N22" s="13"/>
      <c r="O22" s="15">
        <v>1</v>
      </c>
      <c r="P22" s="13"/>
      <c r="Q22" s="14"/>
      <c r="R22" s="13"/>
      <c r="S22" s="13"/>
      <c r="T22" s="13"/>
      <c r="U22" s="13"/>
      <c r="V22" s="16">
        <f t="shared" si="0"/>
        <v>2</v>
      </c>
      <c r="W22" s="13" t="str">
        <f t="shared" si="1"/>
        <v>Atteint</v>
      </c>
    </row>
    <row r="23" spans="1:23" ht="18" customHeight="1">
      <c r="A23" s="12" t="s">
        <v>24</v>
      </c>
      <c r="B23" s="13"/>
      <c r="C23" s="13"/>
      <c r="D23" s="13"/>
      <c r="E23" s="13"/>
      <c r="F23" s="13"/>
      <c r="G23" s="14"/>
      <c r="H23" s="13"/>
      <c r="I23" s="13"/>
      <c r="J23" s="13"/>
      <c r="K23" s="13"/>
      <c r="L23" s="14"/>
      <c r="M23" s="13"/>
      <c r="N23" s="13"/>
      <c r="O23" s="13"/>
      <c r="P23" s="13"/>
      <c r="Q23" s="14"/>
      <c r="R23" s="15">
        <v>1</v>
      </c>
      <c r="S23" s="13"/>
      <c r="T23" s="13"/>
      <c r="U23" s="13"/>
      <c r="V23" s="16">
        <f t="shared" si="0"/>
        <v>1</v>
      </c>
      <c r="W23" s="13" t="str">
        <f t="shared" si="1"/>
        <v>Sous objectif</v>
      </c>
    </row>
    <row r="24" spans="1:23" ht="18" customHeight="1">
      <c r="A24" s="12" t="s">
        <v>26</v>
      </c>
      <c r="B24" s="13"/>
      <c r="C24" s="13"/>
      <c r="D24" s="13"/>
      <c r="E24" s="13"/>
      <c r="F24" s="13"/>
      <c r="G24" s="14"/>
      <c r="H24" s="13"/>
      <c r="I24" s="13"/>
      <c r="J24" s="13"/>
      <c r="K24" s="13"/>
      <c r="L24" s="14"/>
      <c r="M24" s="13"/>
      <c r="N24" s="13"/>
      <c r="O24" s="13"/>
      <c r="P24" s="13"/>
      <c r="Q24" s="14"/>
      <c r="R24" s="13"/>
      <c r="S24" s="13"/>
      <c r="T24" s="13"/>
      <c r="U24" s="13"/>
      <c r="V24" s="16">
        <f t="shared" si="0"/>
        <v>0</v>
      </c>
      <c r="W24" s="13" t="str">
        <f t="shared" si="1"/>
        <v>Sous objectif</v>
      </c>
    </row>
    <row r="25" spans="1:23" ht="18" customHeight="1">
      <c r="A25" s="12" t="s">
        <v>111</v>
      </c>
      <c r="B25" s="15">
        <v>1</v>
      </c>
      <c r="C25" s="15">
        <v>1</v>
      </c>
      <c r="D25" s="13"/>
      <c r="E25" s="15">
        <v>1</v>
      </c>
      <c r="F25" s="13"/>
      <c r="G25" s="21">
        <v>1</v>
      </c>
      <c r="H25" s="15">
        <v>1</v>
      </c>
      <c r="I25" s="13"/>
      <c r="J25" s="15">
        <v>1</v>
      </c>
      <c r="K25" s="13"/>
      <c r="L25" s="21">
        <v>1</v>
      </c>
      <c r="M25" s="13"/>
      <c r="N25" s="13"/>
      <c r="O25" s="15">
        <v>1</v>
      </c>
      <c r="P25" s="13"/>
      <c r="Q25" s="21">
        <v>1</v>
      </c>
      <c r="R25" s="15">
        <v>1</v>
      </c>
      <c r="S25" s="13"/>
      <c r="T25" s="15">
        <v>1</v>
      </c>
      <c r="U25" s="13"/>
      <c r="V25" s="16">
        <f t="shared" si="0"/>
        <v>11</v>
      </c>
      <c r="W25" s="13" t="str">
        <f t="shared" si="1"/>
        <v>Atteint</v>
      </c>
    </row>
    <row r="26" spans="1:23" ht="18" customHeight="1">
      <c r="A26" s="12" t="s">
        <v>27</v>
      </c>
      <c r="B26" s="13"/>
      <c r="C26" s="13"/>
      <c r="D26" s="13"/>
      <c r="E26" s="13"/>
      <c r="F26" s="13"/>
      <c r="G26" s="14"/>
      <c r="H26" s="13"/>
      <c r="I26" s="13"/>
      <c r="J26" s="13"/>
      <c r="K26" s="13"/>
      <c r="L26" s="14"/>
      <c r="M26" s="13"/>
      <c r="N26" s="13"/>
      <c r="O26" s="15">
        <v>1</v>
      </c>
      <c r="P26" s="13"/>
      <c r="Q26" s="14"/>
      <c r="R26" s="13"/>
      <c r="S26" s="13"/>
      <c r="T26" s="13"/>
      <c r="U26" s="13"/>
      <c r="V26" s="16">
        <f t="shared" si="0"/>
        <v>1</v>
      </c>
      <c r="W26" s="13" t="str">
        <f t="shared" si="1"/>
        <v>Sous objectif</v>
      </c>
    </row>
    <row r="27" spans="1:23" ht="18" customHeight="1">
      <c r="A27" s="12" t="s">
        <v>28</v>
      </c>
      <c r="B27" s="13"/>
      <c r="C27" s="15">
        <v>1</v>
      </c>
      <c r="D27" s="13"/>
      <c r="E27" s="13"/>
      <c r="F27" s="13"/>
      <c r="G27" s="14"/>
      <c r="H27" s="15">
        <v>1</v>
      </c>
      <c r="I27" s="13"/>
      <c r="J27" s="13"/>
      <c r="K27" s="13"/>
      <c r="L27" s="14"/>
      <c r="M27" s="15">
        <v>1</v>
      </c>
      <c r="N27" s="13"/>
      <c r="O27" s="15">
        <v>1</v>
      </c>
      <c r="P27" s="13"/>
      <c r="Q27" s="14"/>
      <c r="R27" s="15">
        <v>1</v>
      </c>
      <c r="S27" s="13"/>
      <c r="T27" s="13"/>
      <c r="U27" s="13"/>
      <c r="V27" s="16">
        <f t="shared" si="0"/>
        <v>5</v>
      </c>
      <c r="W27" s="13" t="str">
        <f t="shared" si="1"/>
        <v>Atteint</v>
      </c>
    </row>
    <row r="28" spans="1:23" ht="18" customHeight="1">
      <c r="A28" s="12" t="s">
        <v>29</v>
      </c>
      <c r="B28" s="13"/>
      <c r="C28" s="15">
        <v>1</v>
      </c>
      <c r="D28" s="13"/>
      <c r="E28" s="13"/>
      <c r="F28" s="13"/>
      <c r="G28" s="14"/>
      <c r="H28" s="15">
        <v>1</v>
      </c>
      <c r="I28" s="13"/>
      <c r="J28" s="13"/>
      <c r="K28" s="13"/>
      <c r="L28" s="14"/>
      <c r="M28" s="13"/>
      <c r="N28" s="13"/>
      <c r="O28" s="15">
        <v>1</v>
      </c>
      <c r="P28" s="13"/>
      <c r="Q28" s="14"/>
      <c r="R28" s="15">
        <v>1</v>
      </c>
      <c r="S28" s="13"/>
      <c r="T28" s="13"/>
      <c r="U28" s="13"/>
      <c r="V28" s="16">
        <f t="shared" si="0"/>
        <v>4</v>
      </c>
      <c r="W28" s="13" t="str">
        <f t="shared" si="1"/>
        <v>Atteint</v>
      </c>
    </row>
    <row r="30" spans="1:23" ht="15.75" customHeight="1">
      <c r="A30" s="22" t="s">
        <v>30</v>
      </c>
    </row>
    <row r="31" spans="1:23" ht="15.75" customHeight="1">
      <c r="A31" s="23" t="s">
        <v>31</v>
      </c>
      <c r="B31" s="13"/>
      <c r="C31" s="13"/>
      <c r="D31" s="13"/>
      <c r="E31" s="13"/>
      <c r="F31" s="13"/>
      <c r="G31" s="14"/>
      <c r="H31" s="13"/>
      <c r="I31" s="13"/>
      <c r="J31" s="13"/>
      <c r="K31" s="13"/>
      <c r="L31" s="14"/>
      <c r="M31" s="13"/>
      <c r="N31" s="13"/>
      <c r="O31" s="13"/>
      <c r="P31" s="13"/>
      <c r="Q31" s="14"/>
      <c r="R31" s="13"/>
      <c r="S31" s="13"/>
      <c r="T31" s="13"/>
      <c r="U31" s="13"/>
    </row>
    <row r="32" spans="1:23" ht="15.75" customHeight="1">
      <c r="A32" s="23" t="s">
        <v>32</v>
      </c>
      <c r="B32" s="13"/>
      <c r="C32" s="13"/>
      <c r="D32" s="13"/>
      <c r="E32" s="13"/>
      <c r="F32" s="13"/>
      <c r="G32" s="14"/>
      <c r="H32" s="13"/>
      <c r="I32" s="13"/>
      <c r="J32" s="13"/>
      <c r="K32" s="13"/>
      <c r="L32" s="14"/>
      <c r="M32" s="13"/>
      <c r="N32" s="13"/>
      <c r="O32" s="24" t="s">
        <v>51</v>
      </c>
      <c r="P32" s="13"/>
      <c r="Q32" s="14"/>
      <c r="R32" s="13"/>
      <c r="S32" s="13"/>
      <c r="T32" s="13"/>
      <c r="U32" s="13"/>
    </row>
    <row r="33" spans="1:21" ht="15.75" customHeight="1">
      <c r="A33" s="23" t="s">
        <v>33</v>
      </c>
      <c r="B33" s="13"/>
      <c r="C33" s="13"/>
      <c r="D33" s="13"/>
      <c r="E33" s="13"/>
      <c r="F33" s="13"/>
      <c r="G33" s="14"/>
      <c r="H33" s="13"/>
      <c r="I33" s="13"/>
      <c r="J33" s="13"/>
      <c r="K33" s="13"/>
      <c r="L33" s="14"/>
      <c r="M33" s="13"/>
      <c r="N33" s="13"/>
      <c r="O33" s="13"/>
      <c r="P33" s="13"/>
      <c r="Q33" s="14"/>
      <c r="R33" s="13"/>
      <c r="S33" s="13"/>
      <c r="T33" s="13"/>
      <c r="U33" s="13"/>
    </row>
  </sheetData>
  <mergeCells count="1">
    <mergeCell ref="A1:W1"/>
  </mergeCells>
  <conditionalFormatting sqref="B4:U28">
    <cfRule type="cellIs" dxfId="30" priority="2" operator="equal">
      <formula>1</formula>
    </cfRule>
    <cfRule type="cellIs" dxfId="29" priority="3" operator="equal">
      <formula>"IC"</formula>
    </cfRule>
    <cfRule type="cellIs" dxfId="28" priority="4" operator="equal">
      <formula>"M"</formula>
    </cfRule>
  </conditionalFormatting>
  <conditionalFormatting sqref="B31:U33">
    <cfRule type="cellIs" dxfId="27" priority="5" operator="equal">
      <formula>"X"</formula>
    </cfRule>
  </conditionalFormatting>
  <dataValidations count="2">
    <dataValidation type="list" allowBlank="1" showErrorMessage="1" errorTitle="Valeur invalide" error="Valeurs autorisées : X ou vide." sqref="B31:U33" xr:uid="{00000000-0002-0000-0300-000000000000}">
      <formula1>"X"</formula1>
      <formula2>0</formula2>
    </dataValidation>
    <dataValidation type="list" allowBlank="1" showErrorMessage="1" errorTitle="Valeur invalide" error="Valeurs autorisées : 1, IC, M ou vide." sqref="B4:U28" xr:uid="{00000000-0002-0000-0300-000001000000}">
      <formula1>"1,IC,M"</formula1>
      <formula2>0</formula2>
    </dataValidation>
  </dataValidation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34"/>
  <sheetViews>
    <sheetView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8.83203125" defaultRowHeight="15"/>
  <cols>
    <col min="1" max="1" width="26" customWidth="1"/>
    <col min="2" max="24" width="8" customWidth="1"/>
    <col min="25" max="25" width="18" customWidth="1"/>
  </cols>
  <sheetData>
    <row r="1" spans="1:25" ht="21.75" customHeight="1">
      <c r="A1" s="41" t="s">
        <v>132</v>
      </c>
      <c r="B1" s="40"/>
      <c r="C1" s="40"/>
      <c r="D1" s="40"/>
      <c r="E1" s="40"/>
      <c r="F1" s="40"/>
      <c r="G1" s="40"/>
      <c r="H1" s="40"/>
      <c r="I1" s="40"/>
      <c r="J1" s="40"/>
      <c r="K1" s="40"/>
      <c r="L1" s="40"/>
      <c r="M1" s="40"/>
      <c r="N1" s="40"/>
      <c r="O1" s="40"/>
      <c r="P1" s="40"/>
      <c r="Q1" s="40"/>
      <c r="R1" s="40"/>
      <c r="S1" s="40"/>
      <c r="T1" s="40"/>
      <c r="U1" s="40"/>
      <c r="V1" s="40"/>
      <c r="W1" s="40"/>
      <c r="X1" s="40"/>
      <c r="Y1" s="40"/>
    </row>
    <row r="3" spans="1:25" ht="21.75" customHeight="1">
      <c r="A3" s="7" t="s">
        <v>1</v>
      </c>
      <c r="B3" s="8">
        <v>46083</v>
      </c>
      <c r="C3" s="8">
        <v>46084</v>
      </c>
      <c r="D3" s="8">
        <v>46085</v>
      </c>
      <c r="E3" s="8">
        <v>46086</v>
      </c>
      <c r="F3" s="8">
        <v>46087</v>
      </c>
      <c r="G3" s="9">
        <v>46090</v>
      </c>
      <c r="H3" s="8">
        <v>46091</v>
      </c>
      <c r="I3" s="8">
        <v>46092</v>
      </c>
      <c r="J3" s="8">
        <v>46093</v>
      </c>
      <c r="K3" s="8">
        <v>46094</v>
      </c>
      <c r="L3" s="9">
        <v>46097</v>
      </c>
      <c r="M3" s="8">
        <v>46098</v>
      </c>
      <c r="N3" s="8">
        <v>46099</v>
      </c>
      <c r="O3" s="8">
        <v>46100</v>
      </c>
      <c r="P3" s="8">
        <v>46101</v>
      </c>
      <c r="Q3" s="9">
        <v>46104</v>
      </c>
      <c r="R3" s="8">
        <v>46105</v>
      </c>
      <c r="S3" s="8">
        <v>46106</v>
      </c>
      <c r="T3" s="8">
        <v>46107</v>
      </c>
      <c r="U3" s="8">
        <v>46108</v>
      </c>
      <c r="V3" s="9">
        <v>46111</v>
      </c>
      <c r="W3" s="8">
        <v>46112</v>
      </c>
      <c r="X3" s="10" t="s">
        <v>2</v>
      </c>
      <c r="Y3" s="11" t="s">
        <v>3</v>
      </c>
    </row>
    <row r="4" spans="1:25" ht="18" customHeight="1">
      <c r="A4" s="12" t="s">
        <v>4</v>
      </c>
      <c r="B4" s="13"/>
      <c r="C4" s="13"/>
      <c r="D4" s="13"/>
      <c r="E4" s="13"/>
      <c r="F4" s="13"/>
      <c r="G4" s="14"/>
      <c r="H4" s="13"/>
      <c r="I4" s="15">
        <v>1</v>
      </c>
      <c r="J4" s="13"/>
      <c r="K4" s="13"/>
      <c r="L4" s="14"/>
      <c r="M4" s="15">
        <v>1</v>
      </c>
      <c r="N4" s="13"/>
      <c r="O4" s="13"/>
      <c r="P4" s="13"/>
      <c r="Q4" s="14"/>
      <c r="R4" s="13"/>
      <c r="S4" s="13"/>
      <c r="T4" s="15">
        <v>1</v>
      </c>
      <c r="U4" s="13"/>
      <c r="V4" s="14"/>
      <c r="W4" s="13"/>
      <c r="X4" s="16">
        <f t="shared" ref="X4:X29" si="0">COUNTIF(B4:W4,1)+COUNTIF(B4:W4,"IC")</f>
        <v>3</v>
      </c>
      <c r="Y4" s="13" t="str">
        <f t="shared" ref="Y4:Y29" si="1">IF(COUNTIF(B4:W4,"M")&gt;0,"N/A absence longue",IF(X4&gt;=2,"Atteint","Sous objectif"))</f>
        <v>Atteint</v>
      </c>
    </row>
    <row r="5" spans="1:25" ht="18" customHeight="1">
      <c r="A5" s="12" t="s">
        <v>5</v>
      </c>
      <c r="B5" s="17" t="s">
        <v>48</v>
      </c>
      <c r="C5" s="17" t="s">
        <v>48</v>
      </c>
      <c r="D5" s="17" t="s">
        <v>48</v>
      </c>
      <c r="E5" s="17" t="s">
        <v>48</v>
      </c>
      <c r="F5" s="17" t="s">
        <v>48</v>
      </c>
      <c r="G5" s="18" t="s">
        <v>48</v>
      </c>
      <c r="H5" s="17" t="s">
        <v>48</v>
      </c>
      <c r="I5" s="17" t="s">
        <v>48</v>
      </c>
      <c r="J5" s="17" t="s">
        <v>48</v>
      </c>
      <c r="K5" s="17" t="s">
        <v>48</v>
      </c>
      <c r="L5" s="18" t="s">
        <v>48</v>
      </c>
      <c r="M5" s="17" t="s">
        <v>48</v>
      </c>
      <c r="N5" s="17" t="s">
        <v>48</v>
      </c>
      <c r="O5" s="17" t="s">
        <v>48</v>
      </c>
      <c r="P5" s="17" t="s">
        <v>48</v>
      </c>
      <c r="Q5" s="18" t="s">
        <v>48</v>
      </c>
      <c r="R5" s="17" t="s">
        <v>48</v>
      </c>
      <c r="S5" s="17" t="s">
        <v>48</v>
      </c>
      <c r="T5" s="17" t="s">
        <v>48</v>
      </c>
      <c r="U5" s="17" t="s">
        <v>48</v>
      </c>
      <c r="V5" s="18" t="s">
        <v>48</v>
      </c>
      <c r="W5" s="17" t="s">
        <v>48</v>
      </c>
      <c r="X5" s="16">
        <f t="shared" si="0"/>
        <v>0</v>
      </c>
      <c r="Y5" s="13" t="str">
        <f t="shared" si="1"/>
        <v>N/A absence longue</v>
      </c>
    </row>
    <row r="6" spans="1:25" ht="18" customHeight="1">
      <c r="A6" s="12" t="s">
        <v>7</v>
      </c>
      <c r="B6" s="13"/>
      <c r="C6" s="13"/>
      <c r="D6" s="13"/>
      <c r="E6" s="13"/>
      <c r="F6" s="13"/>
      <c r="G6" s="14"/>
      <c r="H6" s="13"/>
      <c r="I6" s="13"/>
      <c r="J6" s="13"/>
      <c r="K6" s="13"/>
      <c r="L6" s="14"/>
      <c r="M6" s="13"/>
      <c r="N6" s="13"/>
      <c r="O6" s="13"/>
      <c r="P6" s="13"/>
      <c r="Q6" s="14"/>
      <c r="R6" s="13"/>
      <c r="S6" s="13"/>
      <c r="T6" s="13"/>
      <c r="U6" s="13"/>
      <c r="V6" s="14"/>
      <c r="W6" s="13"/>
      <c r="X6" s="16">
        <f t="shared" si="0"/>
        <v>0</v>
      </c>
      <c r="Y6" s="13" t="str">
        <f t="shared" si="1"/>
        <v>Sous objectif</v>
      </c>
    </row>
    <row r="7" spans="1:25" ht="18" customHeight="1">
      <c r="A7" s="12" t="s">
        <v>8</v>
      </c>
      <c r="B7" s="13"/>
      <c r="C7" s="15">
        <v>1</v>
      </c>
      <c r="D7" s="13"/>
      <c r="E7" s="13"/>
      <c r="F7" s="13"/>
      <c r="G7" s="14"/>
      <c r="H7" s="13"/>
      <c r="I7" s="13"/>
      <c r="J7" s="13"/>
      <c r="K7" s="13"/>
      <c r="L7" s="14"/>
      <c r="M7" s="15">
        <v>1</v>
      </c>
      <c r="N7" s="13"/>
      <c r="O7" s="15">
        <v>1</v>
      </c>
      <c r="P7" s="13"/>
      <c r="Q7" s="14"/>
      <c r="R7" s="15">
        <v>1</v>
      </c>
      <c r="S7" s="13"/>
      <c r="T7" s="15">
        <v>1</v>
      </c>
      <c r="U7" s="13"/>
      <c r="V7" s="14"/>
      <c r="W7" s="15">
        <v>1</v>
      </c>
      <c r="X7" s="16">
        <f t="shared" si="0"/>
        <v>6</v>
      </c>
      <c r="Y7" s="13" t="str">
        <f t="shared" si="1"/>
        <v>Atteint</v>
      </c>
    </row>
    <row r="8" spans="1:25" ht="18" customHeight="1">
      <c r="A8" s="12" t="s">
        <v>10</v>
      </c>
      <c r="B8" s="19" t="s">
        <v>6</v>
      </c>
      <c r="C8" s="19" t="s">
        <v>6</v>
      </c>
      <c r="D8" s="13"/>
      <c r="E8" s="19" t="s">
        <v>6</v>
      </c>
      <c r="F8" s="13"/>
      <c r="G8" s="20" t="s">
        <v>6</v>
      </c>
      <c r="H8" s="13"/>
      <c r="I8" s="19" t="s">
        <v>6</v>
      </c>
      <c r="J8" s="19" t="s">
        <v>6</v>
      </c>
      <c r="K8" s="13"/>
      <c r="L8" s="14"/>
      <c r="M8" s="19" t="s">
        <v>6</v>
      </c>
      <c r="N8" s="13"/>
      <c r="O8" s="19" t="s">
        <v>6</v>
      </c>
      <c r="P8" s="13"/>
      <c r="Q8" s="14"/>
      <c r="R8" s="19" t="s">
        <v>6</v>
      </c>
      <c r="S8" s="13"/>
      <c r="T8" s="19" t="s">
        <v>6</v>
      </c>
      <c r="U8" s="13"/>
      <c r="V8" s="20" t="s">
        <v>6</v>
      </c>
      <c r="W8" s="19" t="s">
        <v>6</v>
      </c>
      <c r="X8" s="16">
        <f t="shared" si="0"/>
        <v>12</v>
      </c>
      <c r="Y8" s="13" t="str">
        <f t="shared" si="1"/>
        <v>Atteint</v>
      </c>
    </row>
    <row r="9" spans="1:25" ht="18" customHeight="1">
      <c r="A9" s="12" t="s">
        <v>11</v>
      </c>
      <c r="B9" s="13"/>
      <c r="C9" s="13"/>
      <c r="D9" s="13"/>
      <c r="E9" s="13"/>
      <c r="F9" s="13"/>
      <c r="G9" s="14"/>
      <c r="H9" s="13"/>
      <c r="I9" s="15">
        <v>1</v>
      </c>
      <c r="J9" s="13"/>
      <c r="K9" s="13"/>
      <c r="L9" s="14"/>
      <c r="M9" s="13"/>
      <c r="N9" s="13"/>
      <c r="O9" s="13"/>
      <c r="P9" s="13"/>
      <c r="Q9" s="14"/>
      <c r="R9" s="13"/>
      <c r="S9" s="13"/>
      <c r="T9" s="13"/>
      <c r="U9" s="13"/>
      <c r="V9" s="14"/>
      <c r="W9" s="13"/>
      <c r="X9" s="16">
        <f t="shared" si="0"/>
        <v>1</v>
      </c>
      <c r="Y9" s="13" t="str">
        <f t="shared" si="1"/>
        <v>Sous objectif</v>
      </c>
    </row>
    <row r="10" spans="1:25" ht="18" customHeight="1">
      <c r="A10" s="12" t="s">
        <v>12</v>
      </c>
      <c r="B10" s="13"/>
      <c r="C10" s="15">
        <v>1</v>
      </c>
      <c r="D10" s="13"/>
      <c r="E10" s="15">
        <v>1</v>
      </c>
      <c r="F10" s="13"/>
      <c r="G10" s="14"/>
      <c r="H10" s="13"/>
      <c r="I10" s="13"/>
      <c r="J10" s="15">
        <v>1</v>
      </c>
      <c r="K10" s="13"/>
      <c r="L10" s="21">
        <v>1</v>
      </c>
      <c r="M10" s="13"/>
      <c r="N10" s="13"/>
      <c r="O10" s="15">
        <v>1</v>
      </c>
      <c r="P10" s="13"/>
      <c r="Q10" s="14"/>
      <c r="R10" s="13"/>
      <c r="S10" s="13"/>
      <c r="T10" s="15">
        <v>1</v>
      </c>
      <c r="U10" s="13"/>
      <c r="V10" s="14"/>
      <c r="W10" s="15">
        <v>1</v>
      </c>
      <c r="X10" s="16">
        <f t="shared" si="0"/>
        <v>7</v>
      </c>
      <c r="Y10" s="13" t="str">
        <f t="shared" si="1"/>
        <v>Atteint</v>
      </c>
    </row>
    <row r="11" spans="1:25" ht="18" customHeight="1">
      <c r="A11" s="12" t="s">
        <v>13</v>
      </c>
      <c r="B11" s="13"/>
      <c r="C11" s="13"/>
      <c r="D11" s="13"/>
      <c r="E11" s="15">
        <v>1</v>
      </c>
      <c r="F11" s="13"/>
      <c r="G11" s="14"/>
      <c r="H11" s="13"/>
      <c r="I11" s="13"/>
      <c r="J11" s="13"/>
      <c r="K11" s="13"/>
      <c r="L11" s="14"/>
      <c r="M11" s="13"/>
      <c r="N11" s="13"/>
      <c r="O11" s="15">
        <v>1</v>
      </c>
      <c r="P11" s="13"/>
      <c r="Q11" s="14"/>
      <c r="R11" s="13"/>
      <c r="S11" s="13"/>
      <c r="T11" s="13"/>
      <c r="U11" s="13"/>
      <c r="V11" s="14"/>
      <c r="W11" s="13"/>
      <c r="X11" s="16">
        <f t="shared" si="0"/>
        <v>2</v>
      </c>
      <c r="Y11" s="13" t="str">
        <f t="shared" si="1"/>
        <v>Atteint</v>
      </c>
    </row>
    <row r="12" spans="1:25" ht="18" customHeight="1">
      <c r="A12" s="12" t="s">
        <v>14</v>
      </c>
      <c r="B12" s="13"/>
      <c r="C12" s="13"/>
      <c r="D12" s="13"/>
      <c r="E12" s="13"/>
      <c r="F12" s="13"/>
      <c r="G12" s="14"/>
      <c r="H12" s="13"/>
      <c r="I12" s="13"/>
      <c r="J12" s="13"/>
      <c r="K12" s="13"/>
      <c r="L12" s="14"/>
      <c r="M12" s="13"/>
      <c r="N12" s="13"/>
      <c r="O12" s="13"/>
      <c r="P12" s="13"/>
      <c r="Q12" s="14"/>
      <c r="R12" s="13"/>
      <c r="S12" s="13"/>
      <c r="T12" s="15">
        <v>1</v>
      </c>
      <c r="U12" s="13"/>
      <c r="V12" s="14"/>
      <c r="W12" s="13"/>
      <c r="X12" s="16">
        <f t="shared" si="0"/>
        <v>1</v>
      </c>
      <c r="Y12" s="13" t="str">
        <f t="shared" si="1"/>
        <v>Sous objectif</v>
      </c>
    </row>
    <row r="13" spans="1:25" ht="18" customHeight="1">
      <c r="A13" s="12" t="s">
        <v>15</v>
      </c>
      <c r="B13" s="13"/>
      <c r="C13" s="13"/>
      <c r="D13" s="13"/>
      <c r="E13" s="13"/>
      <c r="F13" s="13"/>
      <c r="G13" s="14"/>
      <c r="H13" s="13"/>
      <c r="I13" s="15">
        <v>1</v>
      </c>
      <c r="J13" s="13"/>
      <c r="K13" s="13"/>
      <c r="L13" s="21">
        <v>1</v>
      </c>
      <c r="M13" s="13"/>
      <c r="N13" s="13"/>
      <c r="O13" s="13"/>
      <c r="P13" s="13"/>
      <c r="Q13" s="14"/>
      <c r="R13" s="13"/>
      <c r="S13" s="13"/>
      <c r="T13" s="13"/>
      <c r="U13" s="13"/>
      <c r="V13" s="14"/>
      <c r="W13" s="13"/>
      <c r="X13" s="16">
        <f t="shared" si="0"/>
        <v>2</v>
      </c>
      <c r="Y13" s="13" t="str">
        <f t="shared" si="1"/>
        <v>Atteint</v>
      </c>
    </row>
    <row r="14" spans="1:25" ht="18" customHeight="1">
      <c r="A14" s="12" t="s">
        <v>16</v>
      </c>
      <c r="B14" s="13"/>
      <c r="C14" s="13"/>
      <c r="D14" s="13"/>
      <c r="E14" s="13"/>
      <c r="F14" s="13"/>
      <c r="G14" s="14"/>
      <c r="H14" s="13"/>
      <c r="I14" s="15">
        <v>1</v>
      </c>
      <c r="J14" s="13"/>
      <c r="K14" s="13"/>
      <c r="L14" s="14"/>
      <c r="M14" s="15">
        <v>1</v>
      </c>
      <c r="N14" s="13"/>
      <c r="O14" s="13"/>
      <c r="P14" s="13"/>
      <c r="Q14" s="14"/>
      <c r="R14" s="13"/>
      <c r="S14" s="13"/>
      <c r="T14" s="13"/>
      <c r="U14" s="13"/>
      <c r="V14" s="14"/>
      <c r="W14" s="13"/>
      <c r="X14" s="16">
        <f t="shared" si="0"/>
        <v>2</v>
      </c>
      <c r="Y14" s="13" t="str">
        <f t="shared" si="1"/>
        <v>Atteint</v>
      </c>
    </row>
    <row r="15" spans="1:25" ht="18" customHeight="1">
      <c r="A15" s="12" t="s">
        <v>17</v>
      </c>
      <c r="B15" s="13"/>
      <c r="C15" s="13"/>
      <c r="D15" s="13"/>
      <c r="E15" s="13"/>
      <c r="F15" s="15">
        <v>1</v>
      </c>
      <c r="G15" s="14"/>
      <c r="H15" s="13"/>
      <c r="I15" s="15">
        <v>1</v>
      </c>
      <c r="J15" s="13"/>
      <c r="K15" s="13"/>
      <c r="L15" s="21">
        <v>1</v>
      </c>
      <c r="M15" s="13"/>
      <c r="N15" s="13"/>
      <c r="O15" s="15">
        <v>1</v>
      </c>
      <c r="P15" s="13"/>
      <c r="Q15" s="14"/>
      <c r="R15" s="13"/>
      <c r="S15" s="13"/>
      <c r="T15" s="15">
        <v>1</v>
      </c>
      <c r="U15" s="13"/>
      <c r="V15" s="14"/>
      <c r="W15" s="13"/>
      <c r="X15" s="16">
        <f t="shared" si="0"/>
        <v>5</v>
      </c>
      <c r="Y15" s="13" t="str">
        <f t="shared" si="1"/>
        <v>Atteint</v>
      </c>
    </row>
    <row r="16" spans="1:25" ht="18" customHeight="1">
      <c r="A16" s="12" t="s">
        <v>18</v>
      </c>
      <c r="B16" s="13"/>
      <c r="C16" s="13"/>
      <c r="D16" s="13"/>
      <c r="E16" s="13"/>
      <c r="F16" s="13"/>
      <c r="G16" s="14"/>
      <c r="H16" s="15">
        <v>1</v>
      </c>
      <c r="I16" s="15">
        <v>1</v>
      </c>
      <c r="J16" s="13"/>
      <c r="K16" s="13"/>
      <c r="L16" s="21">
        <v>1</v>
      </c>
      <c r="M16" s="13"/>
      <c r="N16" s="13"/>
      <c r="O16" s="13"/>
      <c r="P16" s="13"/>
      <c r="Q16" s="14"/>
      <c r="R16" s="13"/>
      <c r="S16" s="13"/>
      <c r="T16" s="15">
        <v>1</v>
      </c>
      <c r="U16" s="13"/>
      <c r="V16" s="14"/>
      <c r="W16" s="13"/>
      <c r="X16" s="16">
        <f t="shared" si="0"/>
        <v>4</v>
      </c>
      <c r="Y16" s="13" t="str">
        <f t="shared" si="1"/>
        <v>Atteint</v>
      </c>
    </row>
    <row r="17" spans="1:25" ht="18" customHeight="1">
      <c r="A17" s="12" t="s">
        <v>19</v>
      </c>
      <c r="B17" s="13"/>
      <c r="C17" s="13"/>
      <c r="D17" s="13"/>
      <c r="E17" s="13"/>
      <c r="F17" s="13"/>
      <c r="G17" s="14"/>
      <c r="H17" s="13"/>
      <c r="I17" s="13"/>
      <c r="J17" s="13"/>
      <c r="K17" s="13"/>
      <c r="L17" s="14"/>
      <c r="M17" s="13"/>
      <c r="N17" s="13"/>
      <c r="O17" s="13"/>
      <c r="P17" s="13"/>
      <c r="Q17" s="14"/>
      <c r="R17" s="13"/>
      <c r="S17" s="13"/>
      <c r="T17" s="15">
        <v>1</v>
      </c>
      <c r="U17" s="13"/>
      <c r="V17" s="14"/>
      <c r="W17" s="13"/>
      <c r="X17" s="16">
        <f t="shared" si="0"/>
        <v>1</v>
      </c>
      <c r="Y17" s="13" t="str">
        <f t="shared" si="1"/>
        <v>Sous objectif</v>
      </c>
    </row>
    <row r="18" spans="1:25" ht="18" customHeight="1">
      <c r="A18" s="12" t="s">
        <v>20</v>
      </c>
      <c r="B18" s="13"/>
      <c r="C18" s="13"/>
      <c r="D18" s="13"/>
      <c r="E18" s="13"/>
      <c r="F18" s="13"/>
      <c r="G18" s="14"/>
      <c r="H18" s="13"/>
      <c r="I18" s="13"/>
      <c r="J18" s="13"/>
      <c r="K18" s="13"/>
      <c r="L18" s="14"/>
      <c r="M18" s="13"/>
      <c r="N18" s="13"/>
      <c r="O18" s="13"/>
      <c r="P18" s="13"/>
      <c r="Q18" s="14"/>
      <c r="R18" s="13"/>
      <c r="S18" s="13"/>
      <c r="T18" s="15">
        <v>1</v>
      </c>
      <c r="U18" s="13"/>
      <c r="V18" s="14"/>
      <c r="W18" s="13"/>
      <c r="X18" s="16">
        <f t="shared" si="0"/>
        <v>1</v>
      </c>
      <c r="Y18" s="13" t="str">
        <f t="shared" si="1"/>
        <v>Sous objectif</v>
      </c>
    </row>
    <row r="19" spans="1:25" ht="18" customHeight="1">
      <c r="A19" s="12" t="s">
        <v>21</v>
      </c>
      <c r="B19" s="13"/>
      <c r="C19" s="13"/>
      <c r="D19" s="13"/>
      <c r="E19" s="13"/>
      <c r="F19" s="13"/>
      <c r="G19" s="14"/>
      <c r="H19" s="13"/>
      <c r="I19" s="13"/>
      <c r="J19" s="13"/>
      <c r="K19" s="13"/>
      <c r="L19" s="14"/>
      <c r="M19" s="13"/>
      <c r="N19" s="13"/>
      <c r="O19" s="13"/>
      <c r="P19" s="13"/>
      <c r="Q19" s="14"/>
      <c r="R19" s="13"/>
      <c r="S19" s="13"/>
      <c r="T19" s="15">
        <v>1</v>
      </c>
      <c r="U19" s="13"/>
      <c r="V19" s="14"/>
      <c r="W19" s="13"/>
      <c r="X19" s="16">
        <f t="shared" si="0"/>
        <v>1</v>
      </c>
      <c r="Y19" s="13" t="str">
        <f t="shared" si="1"/>
        <v>Sous objectif</v>
      </c>
    </row>
    <row r="20" spans="1:25" ht="18" customHeight="1">
      <c r="A20" s="12" t="s">
        <v>22</v>
      </c>
      <c r="B20" s="15">
        <v>1</v>
      </c>
      <c r="C20" s="13"/>
      <c r="D20" s="13"/>
      <c r="E20" s="13"/>
      <c r="F20" s="13"/>
      <c r="G20" s="21">
        <v>1</v>
      </c>
      <c r="H20" s="13"/>
      <c r="I20" s="13"/>
      <c r="J20" s="13"/>
      <c r="K20" s="13"/>
      <c r="L20" s="14"/>
      <c r="M20" s="13"/>
      <c r="N20" s="15">
        <v>1</v>
      </c>
      <c r="O20" s="13"/>
      <c r="P20" s="13"/>
      <c r="Q20" s="14"/>
      <c r="R20" s="13"/>
      <c r="S20" s="13"/>
      <c r="T20" s="15">
        <v>1</v>
      </c>
      <c r="U20" s="13"/>
      <c r="V20" s="14"/>
      <c r="W20" s="13"/>
      <c r="X20" s="16">
        <f t="shared" si="0"/>
        <v>4</v>
      </c>
      <c r="Y20" s="13" t="str">
        <f t="shared" si="1"/>
        <v>Atteint</v>
      </c>
    </row>
    <row r="21" spans="1:25" ht="18" customHeight="1">
      <c r="A21" s="12" t="s">
        <v>23</v>
      </c>
      <c r="B21" s="13"/>
      <c r="C21" s="13"/>
      <c r="D21" s="13"/>
      <c r="E21" s="13"/>
      <c r="F21" s="15">
        <v>1</v>
      </c>
      <c r="G21" s="14"/>
      <c r="H21" s="13"/>
      <c r="I21" s="13"/>
      <c r="J21" s="13"/>
      <c r="K21" s="13"/>
      <c r="L21" s="14"/>
      <c r="M21" s="15">
        <v>1</v>
      </c>
      <c r="N21" s="13"/>
      <c r="O21" s="15">
        <v>1</v>
      </c>
      <c r="P21" s="13"/>
      <c r="Q21" s="14"/>
      <c r="R21" s="13"/>
      <c r="S21" s="13"/>
      <c r="T21" s="15">
        <v>1</v>
      </c>
      <c r="U21" s="13"/>
      <c r="V21" s="14"/>
      <c r="W21" s="13"/>
      <c r="X21" s="16">
        <f t="shared" si="0"/>
        <v>4</v>
      </c>
      <c r="Y21" s="13" t="str">
        <f t="shared" si="1"/>
        <v>Atteint</v>
      </c>
    </row>
    <row r="22" spans="1:25" ht="18" customHeight="1">
      <c r="A22" s="12" t="s">
        <v>110</v>
      </c>
      <c r="B22" s="13"/>
      <c r="C22" s="13"/>
      <c r="D22" s="13"/>
      <c r="E22" s="13"/>
      <c r="F22" s="13"/>
      <c r="G22" s="14"/>
      <c r="H22" s="13"/>
      <c r="I22" s="13"/>
      <c r="J22" s="13"/>
      <c r="K22" s="13"/>
      <c r="L22" s="14"/>
      <c r="M22" s="15">
        <v>1</v>
      </c>
      <c r="N22" s="13"/>
      <c r="O22" s="13"/>
      <c r="P22" s="13"/>
      <c r="Q22" s="14"/>
      <c r="R22" s="13"/>
      <c r="S22" s="13"/>
      <c r="T22" s="13"/>
      <c r="U22" s="13"/>
      <c r="V22" s="14"/>
      <c r="W22" s="13"/>
      <c r="X22" s="16">
        <f t="shared" si="0"/>
        <v>1</v>
      </c>
      <c r="Y22" s="13" t="str">
        <f t="shared" si="1"/>
        <v>Sous objectif</v>
      </c>
    </row>
    <row r="23" spans="1:25" ht="18" customHeight="1">
      <c r="A23" s="12" t="s">
        <v>24</v>
      </c>
      <c r="B23" s="13"/>
      <c r="C23" s="13"/>
      <c r="D23" s="13"/>
      <c r="E23" s="13"/>
      <c r="F23" s="13"/>
      <c r="G23" s="14"/>
      <c r="H23" s="13"/>
      <c r="I23" s="13"/>
      <c r="J23" s="13"/>
      <c r="K23" s="13"/>
      <c r="L23" s="14"/>
      <c r="M23" s="13"/>
      <c r="N23" s="13"/>
      <c r="O23" s="13"/>
      <c r="P23" s="13"/>
      <c r="Q23" s="14"/>
      <c r="R23" s="13"/>
      <c r="S23" s="13"/>
      <c r="T23" s="15">
        <v>1</v>
      </c>
      <c r="U23" s="13"/>
      <c r="V23" s="14"/>
      <c r="W23" s="13"/>
      <c r="X23" s="16">
        <f t="shared" si="0"/>
        <v>1</v>
      </c>
      <c r="Y23" s="13" t="str">
        <f t="shared" si="1"/>
        <v>Sous objectif</v>
      </c>
    </row>
    <row r="24" spans="1:25" ht="18" customHeight="1">
      <c r="A24" s="12" t="s">
        <v>25</v>
      </c>
      <c r="B24" s="13"/>
      <c r="C24" s="13"/>
      <c r="D24" s="13"/>
      <c r="E24" s="13"/>
      <c r="F24" s="13"/>
      <c r="G24" s="14"/>
      <c r="H24" s="13"/>
      <c r="I24" s="13"/>
      <c r="J24" s="13"/>
      <c r="K24" s="13"/>
      <c r="L24" s="14"/>
      <c r="M24" s="13"/>
      <c r="N24" s="13"/>
      <c r="O24" s="13"/>
      <c r="P24" s="13"/>
      <c r="Q24" s="14"/>
      <c r="R24" s="15">
        <v>1</v>
      </c>
      <c r="S24" s="13"/>
      <c r="T24" s="15">
        <v>1</v>
      </c>
      <c r="U24" s="13"/>
      <c r="V24" s="21">
        <v>1</v>
      </c>
      <c r="W24" s="15">
        <v>1</v>
      </c>
      <c r="X24" s="16">
        <f t="shared" si="0"/>
        <v>4</v>
      </c>
      <c r="Y24" s="13" t="str">
        <f t="shared" si="1"/>
        <v>Atteint</v>
      </c>
    </row>
    <row r="25" spans="1:25" ht="18" customHeight="1">
      <c r="A25" s="12" t="s">
        <v>26</v>
      </c>
      <c r="B25" s="13"/>
      <c r="C25" s="13"/>
      <c r="D25" s="13"/>
      <c r="E25" s="13"/>
      <c r="F25" s="13"/>
      <c r="G25" s="14"/>
      <c r="H25" s="13"/>
      <c r="I25" s="13"/>
      <c r="J25" s="13"/>
      <c r="K25" s="13"/>
      <c r="L25" s="14"/>
      <c r="M25" s="13"/>
      <c r="N25" s="13"/>
      <c r="O25" s="13"/>
      <c r="P25" s="13"/>
      <c r="Q25" s="14"/>
      <c r="R25" s="13"/>
      <c r="S25" s="13"/>
      <c r="T25" s="15">
        <v>1</v>
      </c>
      <c r="U25" s="13"/>
      <c r="V25" s="14"/>
      <c r="W25" s="13"/>
      <c r="X25" s="16">
        <f t="shared" si="0"/>
        <v>1</v>
      </c>
      <c r="Y25" s="13" t="str">
        <f t="shared" si="1"/>
        <v>Sous objectif</v>
      </c>
    </row>
    <row r="26" spans="1:25" ht="18" customHeight="1">
      <c r="A26" s="12" t="s">
        <v>111</v>
      </c>
      <c r="B26" s="13"/>
      <c r="C26" s="13"/>
      <c r="D26" s="13"/>
      <c r="E26" s="13"/>
      <c r="F26" s="13"/>
      <c r="G26" s="14"/>
      <c r="H26" s="13"/>
      <c r="I26" s="13"/>
      <c r="J26" s="13"/>
      <c r="K26" s="13"/>
      <c r="L26" s="14"/>
      <c r="M26" s="13"/>
      <c r="N26" s="13"/>
      <c r="O26" s="13"/>
      <c r="P26" s="13"/>
      <c r="Q26" s="14"/>
      <c r="R26" s="13"/>
      <c r="S26" s="13"/>
      <c r="T26" s="13"/>
      <c r="U26" s="13"/>
      <c r="V26" s="14"/>
      <c r="W26" s="13"/>
      <c r="X26" s="16">
        <f t="shared" si="0"/>
        <v>0</v>
      </c>
      <c r="Y26" s="13" t="str">
        <f t="shared" si="1"/>
        <v>Sous objectif</v>
      </c>
    </row>
    <row r="27" spans="1:25" ht="18" customHeight="1">
      <c r="A27" s="12" t="s">
        <v>27</v>
      </c>
      <c r="B27" s="13"/>
      <c r="C27" s="13"/>
      <c r="D27" s="13"/>
      <c r="E27" s="13"/>
      <c r="F27" s="13"/>
      <c r="G27" s="14"/>
      <c r="H27" s="13"/>
      <c r="I27" s="13"/>
      <c r="J27" s="13"/>
      <c r="K27" s="13"/>
      <c r="L27" s="14"/>
      <c r="M27" s="13"/>
      <c r="N27" s="13"/>
      <c r="O27" s="15">
        <v>1</v>
      </c>
      <c r="P27" s="13"/>
      <c r="Q27" s="14"/>
      <c r="R27" s="13"/>
      <c r="S27" s="13"/>
      <c r="T27" s="15">
        <v>1</v>
      </c>
      <c r="U27" s="13"/>
      <c r="V27" s="14"/>
      <c r="W27" s="13"/>
      <c r="X27" s="16">
        <f t="shared" si="0"/>
        <v>2</v>
      </c>
      <c r="Y27" s="13" t="str">
        <f t="shared" si="1"/>
        <v>Atteint</v>
      </c>
    </row>
    <row r="28" spans="1:25" ht="18" customHeight="1">
      <c r="A28" s="12" t="s">
        <v>28</v>
      </c>
      <c r="B28" s="13"/>
      <c r="C28" s="13"/>
      <c r="D28" s="13"/>
      <c r="E28" s="13"/>
      <c r="F28" s="13"/>
      <c r="G28" s="14"/>
      <c r="H28" s="13"/>
      <c r="I28" s="15">
        <v>1</v>
      </c>
      <c r="J28" s="13"/>
      <c r="K28" s="13"/>
      <c r="L28" s="14"/>
      <c r="M28" s="15">
        <v>1</v>
      </c>
      <c r="N28" s="13"/>
      <c r="O28" s="13"/>
      <c r="P28" s="13"/>
      <c r="Q28" s="14"/>
      <c r="R28" s="15">
        <v>1</v>
      </c>
      <c r="S28" s="13"/>
      <c r="T28" s="13"/>
      <c r="U28" s="13"/>
      <c r="V28" s="14"/>
      <c r="W28" s="15">
        <v>1</v>
      </c>
      <c r="X28" s="16">
        <f t="shared" si="0"/>
        <v>4</v>
      </c>
      <c r="Y28" s="13" t="str">
        <f t="shared" si="1"/>
        <v>Atteint</v>
      </c>
    </row>
    <row r="29" spans="1:25" ht="18" customHeight="1">
      <c r="A29" s="12" t="s">
        <v>29</v>
      </c>
      <c r="B29" s="13"/>
      <c r="C29" s="13"/>
      <c r="D29" s="13"/>
      <c r="E29" s="13"/>
      <c r="F29" s="13"/>
      <c r="G29" s="14"/>
      <c r="H29" s="13"/>
      <c r="I29" s="13"/>
      <c r="J29" s="13"/>
      <c r="K29" s="13"/>
      <c r="L29" s="14"/>
      <c r="M29" s="15">
        <v>1</v>
      </c>
      <c r="N29" s="13"/>
      <c r="O29" s="13"/>
      <c r="P29" s="13"/>
      <c r="Q29" s="14"/>
      <c r="R29" s="15">
        <v>1</v>
      </c>
      <c r="S29" s="13"/>
      <c r="T29" s="15">
        <v>1</v>
      </c>
      <c r="U29" s="13"/>
      <c r="V29" s="14"/>
      <c r="W29" s="13"/>
      <c r="X29" s="16">
        <f t="shared" si="0"/>
        <v>3</v>
      </c>
      <c r="Y29" s="13" t="str">
        <f t="shared" si="1"/>
        <v>Atteint</v>
      </c>
    </row>
    <row r="31" spans="1:25" ht="15.75" customHeight="1">
      <c r="A31" s="22" t="s">
        <v>30</v>
      </c>
    </row>
    <row r="32" spans="1:25" ht="15.75" customHeight="1">
      <c r="A32" s="23" t="s">
        <v>31</v>
      </c>
      <c r="B32" s="13"/>
      <c r="C32" s="13"/>
      <c r="D32" s="13"/>
      <c r="E32" s="13"/>
      <c r="F32" s="13"/>
      <c r="G32" s="14"/>
      <c r="H32" s="13"/>
      <c r="I32" s="13"/>
      <c r="J32" s="13"/>
      <c r="K32" s="13"/>
      <c r="L32" s="14"/>
      <c r="M32" s="13"/>
      <c r="N32" s="13"/>
      <c r="O32" s="13"/>
      <c r="P32" s="13"/>
      <c r="Q32" s="14"/>
      <c r="R32" s="13"/>
      <c r="S32" s="13"/>
      <c r="T32" s="24" t="s">
        <v>51</v>
      </c>
      <c r="U32" s="13"/>
      <c r="V32" s="14"/>
      <c r="W32" s="13"/>
    </row>
    <row r="33" spans="1:23" ht="15.75" customHeight="1">
      <c r="A33" s="23" t="s">
        <v>32</v>
      </c>
      <c r="B33" s="13"/>
      <c r="C33" s="13"/>
      <c r="D33" s="13"/>
      <c r="E33" s="13"/>
      <c r="F33" s="13"/>
      <c r="G33" s="14"/>
      <c r="H33" s="13"/>
      <c r="I33" s="13"/>
      <c r="J33" s="13"/>
      <c r="K33" s="13"/>
      <c r="L33" s="14"/>
      <c r="M33" s="13"/>
      <c r="N33" s="13"/>
      <c r="O33" s="13"/>
      <c r="P33" s="13"/>
      <c r="Q33" s="14"/>
      <c r="R33" s="13"/>
      <c r="S33" s="13"/>
      <c r="T33" s="13"/>
      <c r="U33" s="13"/>
      <c r="V33" s="14"/>
      <c r="W33" s="13"/>
    </row>
    <row r="34" spans="1:23" ht="15.75" customHeight="1">
      <c r="A34" s="23" t="s">
        <v>33</v>
      </c>
      <c r="B34" s="13"/>
      <c r="C34" s="13"/>
      <c r="D34" s="13"/>
      <c r="E34" s="13"/>
      <c r="F34" s="13"/>
      <c r="G34" s="14"/>
      <c r="H34" s="13"/>
      <c r="I34" s="13"/>
      <c r="J34" s="13"/>
      <c r="K34" s="13"/>
      <c r="L34" s="14"/>
      <c r="M34" s="13"/>
      <c r="N34" s="13"/>
      <c r="O34" s="13"/>
      <c r="P34" s="13"/>
      <c r="Q34" s="14"/>
      <c r="R34" s="13"/>
      <c r="S34" s="13"/>
      <c r="T34" s="13"/>
      <c r="U34" s="13"/>
      <c r="V34" s="14"/>
      <c r="W34" s="13"/>
    </row>
  </sheetData>
  <mergeCells count="1">
    <mergeCell ref="A1:Y1"/>
  </mergeCells>
  <conditionalFormatting sqref="B4:W29">
    <cfRule type="cellIs" dxfId="26" priority="2" operator="equal">
      <formula>1</formula>
    </cfRule>
    <cfRule type="cellIs" dxfId="25" priority="3" operator="equal">
      <formula>"IC"</formula>
    </cfRule>
    <cfRule type="cellIs" dxfId="24" priority="4" operator="equal">
      <formula>"M"</formula>
    </cfRule>
  </conditionalFormatting>
  <conditionalFormatting sqref="B32:W34">
    <cfRule type="cellIs" dxfId="23" priority="5" operator="equal">
      <formula>"X"</formula>
    </cfRule>
  </conditionalFormatting>
  <dataValidations count="2">
    <dataValidation type="list" allowBlank="1" showErrorMessage="1" errorTitle="Valeur invalide" error="Valeurs autorisées : X ou vide." sqref="B32:W34" xr:uid="{00000000-0002-0000-0400-000000000000}">
      <formula1>"X"</formula1>
      <formula2>0</formula2>
    </dataValidation>
    <dataValidation type="list" allowBlank="1" showErrorMessage="1" errorTitle="Valeur invalide" error="Valeurs autorisées : 1, IC, M ou vide." sqref="B4:W29" xr:uid="{00000000-0002-0000-0400-000001000000}">
      <formula1>"1,IC,M"</formula1>
      <formula2>0</formula2>
    </dataValidation>
  </dataValidations>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4"/>
  <sheetViews>
    <sheetView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8.83203125" defaultRowHeight="15"/>
  <cols>
    <col min="1" max="1" width="26" customWidth="1"/>
    <col min="2" max="24" width="8" customWidth="1"/>
    <col min="25" max="25" width="18" customWidth="1"/>
  </cols>
  <sheetData>
    <row r="1" spans="1:25" ht="21.75" customHeight="1">
      <c r="A1" s="41" t="s">
        <v>133</v>
      </c>
      <c r="B1" s="40"/>
      <c r="C1" s="40"/>
      <c r="D1" s="40"/>
      <c r="E1" s="40"/>
      <c r="F1" s="40"/>
      <c r="G1" s="40"/>
      <c r="H1" s="40"/>
      <c r="I1" s="40"/>
      <c r="J1" s="40"/>
      <c r="K1" s="40"/>
      <c r="L1" s="40"/>
      <c r="M1" s="40"/>
      <c r="N1" s="40"/>
      <c r="O1" s="40"/>
      <c r="P1" s="40"/>
      <c r="Q1" s="40"/>
      <c r="R1" s="40"/>
      <c r="S1" s="40"/>
      <c r="T1" s="40"/>
      <c r="U1" s="40"/>
      <c r="V1" s="40"/>
      <c r="W1" s="40"/>
      <c r="X1" s="40"/>
      <c r="Y1" s="40"/>
    </row>
    <row r="3" spans="1:25" ht="21.75" customHeight="1">
      <c r="A3" s="7" t="s">
        <v>1</v>
      </c>
      <c r="B3" s="8">
        <v>46113</v>
      </c>
      <c r="C3" s="8">
        <v>46114</v>
      </c>
      <c r="D3" s="8">
        <v>46115</v>
      </c>
      <c r="E3" s="9">
        <v>46118</v>
      </c>
      <c r="F3" s="8">
        <v>46119</v>
      </c>
      <c r="G3" s="8">
        <v>46120</v>
      </c>
      <c r="H3" s="8">
        <v>46121</v>
      </c>
      <c r="I3" s="8">
        <v>46122</v>
      </c>
      <c r="J3" s="9">
        <v>46125</v>
      </c>
      <c r="K3" s="8">
        <v>46126</v>
      </c>
      <c r="L3" s="8">
        <v>46127</v>
      </c>
      <c r="M3" s="8">
        <v>46128</v>
      </c>
      <c r="N3" s="8">
        <v>46129</v>
      </c>
      <c r="O3" s="9">
        <v>46132</v>
      </c>
      <c r="P3" s="8">
        <v>46133</v>
      </c>
      <c r="Q3" s="8">
        <v>46134</v>
      </c>
      <c r="R3" s="8">
        <v>46135</v>
      </c>
      <c r="S3" s="8">
        <v>46136</v>
      </c>
      <c r="T3" s="9">
        <v>46139</v>
      </c>
      <c r="U3" s="8">
        <v>46140</v>
      </c>
      <c r="V3" s="8">
        <v>46141</v>
      </c>
      <c r="W3" s="8">
        <v>46142</v>
      </c>
      <c r="X3" s="10" t="s">
        <v>2</v>
      </c>
      <c r="Y3" s="11" t="s">
        <v>3</v>
      </c>
    </row>
    <row r="4" spans="1:25" ht="18" customHeight="1">
      <c r="A4" s="12" t="s">
        <v>4</v>
      </c>
      <c r="B4" s="13"/>
      <c r="C4" s="13"/>
      <c r="D4" s="13"/>
      <c r="E4" s="14"/>
      <c r="F4" s="13"/>
      <c r="G4" s="13"/>
      <c r="H4" s="13"/>
      <c r="I4" s="13"/>
      <c r="J4" s="14"/>
      <c r="K4" s="13"/>
      <c r="L4" s="13"/>
      <c r="M4" s="13"/>
      <c r="N4" s="13"/>
      <c r="O4" s="14"/>
      <c r="P4" s="13"/>
      <c r="Q4" s="13"/>
      <c r="R4" s="15">
        <v>1</v>
      </c>
      <c r="S4" s="13"/>
      <c r="T4" s="14"/>
      <c r="U4" s="13">
        <v>1</v>
      </c>
      <c r="V4" s="13"/>
      <c r="W4" s="13"/>
      <c r="X4" s="16">
        <f t="shared" ref="X4:X29" si="0">COUNTIF(B4:W4,1)+COUNTIF(B4:W4,"IC")</f>
        <v>2</v>
      </c>
      <c r="Y4" s="13" t="str">
        <f t="shared" ref="Y4:Y29" si="1">IF(COUNTIF(B4:W4,"M")&gt;0,"N/A absence longue",IF(X4&gt;=2,"Atteint","Sous objectif"))</f>
        <v>Atteint</v>
      </c>
    </row>
    <row r="5" spans="1:25" ht="18" customHeight="1">
      <c r="A5" s="12" t="s">
        <v>5</v>
      </c>
      <c r="B5" s="13"/>
      <c r="C5" s="19" t="s">
        <v>6</v>
      </c>
      <c r="D5" s="13"/>
      <c r="E5" s="14"/>
      <c r="F5" s="19" t="s">
        <v>6</v>
      </c>
      <c r="G5" s="13"/>
      <c r="H5" s="19" t="s">
        <v>6</v>
      </c>
      <c r="I5" s="13"/>
      <c r="J5" s="20" t="s">
        <v>6</v>
      </c>
      <c r="K5" s="19" t="s">
        <v>6</v>
      </c>
      <c r="L5" s="13"/>
      <c r="M5" s="19" t="s">
        <v>6</v>
      </c>
      <c r="N5" s="13"/>
      <c r="O5" s="20" t="s">
        <v>6</v>
      </c>
      <c r="P5" s="13"/>
      <c r="Q5" s="13"/>
      <c r="R5" s="19" t="s">
        <v>6</v>
      </c>
      <c r="S5" s="13"/>
      <c r="T5" s="14" t="s">
        <v>6</v>
      </c>
      <c r="U5" s="13" t="s">
        <v>6</v>
      </c>
      <c r="V5" s="13"/>
      <c r="W5" s="13" t="s">
        <v>6</v>
      </c>
      <c r="X5" s="16">
        <f t="shared" si="0"/>
        <v>11</v>
      </c>
      <c r="Y5" s="13" t="str">
        <f t="shared" si="1"/>
        <v>Atteint</v>
      </c>
    </row>
    <row r="6" spans="1:25" ht="18" customHeight="1">
      <c r="A6" s="12" t="s">
        <v>7</v>
      </c>
      <c r="B6" s="13"/>
      <c r="C6" s="13"/>
      <c r="D6" s="13"/>
      <c r="E6" s="14"/>
      <c r="F6" s="13"/>
      <c r="G6" s="13"/>
      <c r="H6" s="13"/>
      <c r="I6" s="13"/>
      <c r="J6" s="14"/>
      <c r="K6" s="13"/>
      <c r="L6" s="13"/>
      <c r="M6" s="13"/>
      <c r="N6" s="13"/>
      <c r="O6" s="14"/>
      <c r="P6" s="13"/>
      <c r="Q6" s="13"/>
      <c r="R6" s="15">
        <v>1</v>
      </c>
      <c r="S6" s="13"/>
      <c r="T6" s="14"/>
      <c r="U6" s="13"/>
      <c r="V6" s="13"/>
      <c r="W6" s="13"/>
      <c r="X6" s="16">
        <f t="shared" si="0"/>
        <v>1</v>
      </c>
      <c r="Y6" s="13" t="str">
        <f t="shared" si="1"/>
        <v>Sous objectif</v>
      </c>
    </row>
    <row r="7" spans="1:25" ht="18" customHeight="1">
      <c r="A7" s="12" t="s">
        <v>8</v>
      </c>
      <c r="B7" s="13"/>
      <c r="C7" s="13"/>
      <c r="D7" s="13"/>
      <c r="E7" s="14"/>
      <c r="F7" s="13"/>
      <c r="G7" s="13"/>
      <c r="H7" s="13"/>
      <c r="I7" s="13"/>
      <c r="J7" s="14"/>
      <c r="K7" s="15">
        <v>1</v>
      </c>
      <c r="L7" s="13"/>
      <c r="M7" s="15">
        <v>1</v>
      </c>
      <c r="N7" s="13"/>
      <c r="O7" s="14"/>
      <c r="P7" s="13"/>
      <c r="Q7" s="13"/>
      <c r="R7" s="15">
        <v>1</v>
      </c>
      <c r="S7" s="13"/>
      <c r="T7" s="14"/>
      <c r="U7" s="13">
        <v>1</v>
      </c>
      <c r="V7" s="13"/>
      <c r="W7" s="13"/>
      <c r="X7" s="16">
        <f t="shared" si="0"/>
        <v>4</v>
      </c>
      <c r="Y7" s="13" t="str">
        <f t="shared" si="1"/>
        <v>Atteint</v>
      </c>
    </row>
    <row r="8" spans="1:25" ht="18" customHeight="1">
      <c r="A8" s="12" t="s">
        <v>10</v>
      </c>
      <c r="B8" s="13"/>
      <c r="C8" s="19" t="s">
        <v>6</v>
      </c>
      <c r="D8" s="13"/>
      <c r="E8" s="14"/>
      <c r="F8" s="19" t="s">
        <v>6</v>
      </c>
      <c r="G8" s="13"/>
      <c r="H8" s="19" t="s">
        <v>6</v>
      </c>
      <c r="I8" s="13"/>
      <c r="J8" s="20" t="s">
        <v>6</v>
      </c>
      <c r="K8" s="19" t="s">
        <v>6</v>
      </c>
      <c r="L8" s="13"/>
      <c r="M8" s="19" t="s">
        <v>6</v>
      </c>
      <c r="N8" s="13"/>
      <c r="O8" s="20" t="s">
        <v>6</v>
      </c>
      <c r="P8" s="19" t="s">
        <v>6</v>
      </c>
      <c r="Q8" s="13"/>
      <c r="R8" s="19" t="s">
        <v>6</v>
      </c>
      <c r="S8" s="13"/>
      <c r="T8" s="14" t="s">
        <v>6</v>
      </c>
      <c r="U8" s="13" t="s">
        <v>6</v>
      </c>
      <c r="V8" s="13"/>
      <c r="W8" s="13" t="s">
        <v>6</v>
      </c>
      <c r="X8" s="16">
        <f t="shared" si="0"/>
        <v>12</v>
      </c>
      <c r="Y8" s="13" t="str">
        <f t="shared" si="1"/>
        <v>Atteint</v>
      </c>
    </row>
    <row r="9" spans="1:25" ht="18" customHeight="1">
      <c r="A9" s="12" t="s">
        <v>11</v>
      </c>
      <c r="B9" s="13"/>
      <c r="C9" s="13"/>
      <c r="D9" s="13"/>
      <c r="E9" s="14"/>
      <c r="F9" s="15">
        <v>1</v>
      </c>
      <c r="G9" s="13"/>
      <c r="H9" s="13"/>
      <c r="I9" s="13"/>
      <c r="J9" s="14"/>
      <c r="K9" s="13"/>
      <c r="L9" s="13"/>
      <c r="M9" s="13"/>
      <c r="N9" s="13"/>
      <c r="O9" s="14"/>
      <c r="P9" s="13"/>
      <c r="Q9" s="13"/>
      <c r="R9" s="15">
        <v>1</v>
      </c>
      <c r="S9" s="13"/>
      <c r="T9" s="14"/>
      <c r="U9" s="13"/>
      <c r="V9" s="13"/>
      <c r="W9" s="13"/>
      <c r="X9" s="16">
        <f t="shared" si="0"/>
        <v>2</v>
      </c>
      <c r="Y9" s="13" t="str">
        <f t="shared" si="1"/>
        <v>Atteint</v>
      </c>
    </row>
    <row r="10" spans="1:25" ht="18" customHeight="1">
      <c r="A10" s="12" t="s">
        <v>12</v>
      </c>
      <c r="B10" s="13"/>
      <c r="C10" s="13"/>
      <c r="D10" s="13"/>
      <c r="E10" s="14"/>
      <c r="F10" s="13"/>
      <c r="G10" s="13"/>
      <c r="H10" s="15">
        <v>1</v>
      </c>
      <c r="I10" s="13"/>
      <c r="J10" s="14"/>
      <c r="K10" s="15">
        <v>1</v>
      </c>
      <c r="L10" s="13"/>
      <c r="M10" s="15">
        <v>1</v>
      </c>
      <c r="N10" s="13"/>
      <c r="O10" s="14"/>
      <c r="P10" s="13"/>
      <c r="Q10" s="13"/>
      <c r="R10" s="15">
        <v>1</v>
      </c>
      <c r="S10" s="13"/>
      <c r="T10" s="14"/>
      <c r="U10" s="13">
        <v>1</v>
      </c>
      <c r="V10" s="13"/>
      <c r="W10" s="13">
        <v>1</v>
      </c>
      <c r="X10" s="16">
        <f t="shared" si="0"/>
        <v>6</v>
      </c>
      <c r="Y10" s="13" t="str">
        <f t="shared" si="1"/>
        <v>Atteint</v>
      </c>
    </row>
    <row r="11" spans="1:25" ht="18" customHeight="1">
      <c r="A11" s="12" t="s">
        <v>13</v>
      </c>
      <c r="B11" s="13"/>
      <c r="C11" s="15">
        <v>1</v>
      </c>
      <c r="D11" s="13"/>
      <c r="E11" s="14"/>
      <c r="F11" s="13"/>
      <c r="G11" s="13"/>
      <c r="H11" s="13"/>
      <c r="I11" s="13"/>
      <c r="J11" s="14"/>
      <c r="K11" s="13"/>
      <c r="L11" s="13"/>
      <c r="M11" s="13"/>
      <c r="N11" s="13"/>
      <c r="O11" s="14"/>
      <c r="P11" s="13"/>
      <c r="Q11" s="13"/>
      <c r="R11" s="15">
        <v>1</v>
      </c>
      <c r="S11" s="13"/>
      <c r="T11" s="14"/>
      <c r="U11" s="13"/>
      <c r="V11" s="13"/>
      <c r="W11" s="13"/>
      <c r="X11" s="16">
        <f t="shared" si="0"/>
        <v>2</v>
      </c>
      <c r="Y11" s="13" t="str">
        <f t="shared" si="1"/>
        <v>Atteint</v>
      </c>
    </row>
    <row r="12" spans="1:25" ht="18" customHeight="1">
      <c r="A12" s="12" t="s">
        <v>14</v>
      </c>
      <c r="B12" s="13"/>
      <c r="C12" s="13"/>
      <c r="D12" s="13"/>
      <c r="E12" s="14"/>
      <c r="F12" s="13"/>
      <c r="G12" s="13"/>
      <c r="H12" s="13"/>
      <c r="I12" s="13"/>
      <c r="J12" s="14"/>
      <c r="K12" s="13"/>
      <c r="L12" s="13"/>
      <c r="M12" s="13"/>
      <c r="N12" s="13"/>
      <c r="O12" s="14"/>
      <c r="P12" s="13"/>
      <c r="Q12" s="13"/>
      <c r="R12" s="15">
        <v>1</v>
      </c>
      <c r="S12" s="13"/>
      <c r="T12" s="14"/>
      <c r="U12" s="13"/>
      <c r="V12" s="13"/>
      <c r="W12" s="13"/>
      <c r="X12" s="16">
        <f t="shared" si="0"/>
        <v>1</v>
      </c>
      <c r="Y12" s="13" t="str">
        <f t="shared" si="1"/>
        <v>Sous objectif</v>
      </c>
    </row>
    <row r="13" spans="1:25" ht="18" customHeight="1">
      <c r="A13" s="12" t="s">
        <v>15</v>
      </c>
      <c r="B13" s="13"/>
      <c r="C13" s="13"/>
      <c r="D13" s="13"/>
      <c r="E13" s="14"/>
      <c r="F13" s="15">
        <v>1</v>
      </c>
      <c r="G13" s="13"/>
      <c r="H13" s="13"/>
      <c r="I13" s="13"/>
      <c r="J13" s="14"/>
      <c r="K13" s="13"/>
      <c r="L13" s="13"/>
      <c r="M13" s="13"/>
      <c r="N13" s="13"/>
      <c r="O13" s="14"/>
      <c r="P13" s="13"/>
      <c r="Q13" s="13"/>
      <c r="R13" s="13"/>
      <c r="S13" s="13"/>
      <c r="T13" s="14"/>
      <c r="U13" s="13"/>
      <c r="V13" s="13"/>
      <c r="W13" s="13"/>
      <c r="X13" s="16">
        <f t="shared" si="0"/>
        <v>1</v>
      </c>
      <c r="Y13" s="13" t="str">
        <f t="shared" si="1"/>
        <v>Sous objectif</v>
      </c>
    </row>
    <row r="14" spans="1:25" ht="18" customHeight="1">
      <c r="A14" s="12" t="s">
        <v>16</v>
      </c>
      <c r="B14" s="13"/>
      <c r="C14" s="13"/>
      <c r="D14" s="13"/>
      <c r="E14" s="14"/>
      <c r="F14" s="13"/>
      <c r="G14" s="13"/>
      <c r="H14" s="13"/>
      <c r="I14" s="13"/>
      <c r="J14" s="14"/>
      <c r="K14" s="13"/>
      <c r="L14" s="13"/>
      <c r="M14" s="15">
        <v>1</v>
      </c>
      <c r="N14" s="13"/>
      <c r="O14" s="14"/>
      <c r="P14" s="13"/>
      <c r="Q14" s="13"/>
      <c r="R14" s="15">
        <v>1</v>
      </c>
      <c r="S14" s="13"/>
      <c r="T14" s="14"/>
      <c r="U14" s="13"/>
      <c r="V14" s="13"/>
      <c r="W14" s="13"/>
      <c r="X14" s="16">
        <f t="shared" si="0"/>
        <v>2</v>
      </c>
      <c r="Y14" s="13" t="str">
        <f t="shared" si="1"/>
        <v>Atteint</v>
      </c>
    </row>
    <row r="15" spans="1:25" ht="18" customHeight="1">
      <c r="A15" s="12" t="s">
        <v>17</v>
      </c>
      <c r="B15" s="13"/>
      <c r="C15" s="13"/>
      <c r="D15" s="13"/>
      <c r="E15" s="14"/>
      <c r="F15" s="13"/>
      <c r="G15" s="13"/>
      <c r="H15" s="13"/>
      <c r="I15" s="13"/>
      <c r="J15" s="21">
        <v>1</v>
      </c>
      <c r="K15" s="13"/>
      <c r="L15" s="15">
        <v>1</v>
      </c>
      <c r="M15" s="13"/>
      <c r="N15" s="13"/>
      <c r="O15" s="14"/>
      <c r="P15" s="13"/>
      <c r="Q15" s="13"/>
      <c r="R15" s="15">
        <v>1</v>
      </c>
      <c r="S15" s="13"/>
      <c r="T15" s="14"/>
      <c r="U15" s="13">
        <v>1</v>
      </c>
      <c r="V15" s="13"/>
      <c r="W15" s="13"/>
      <c r="X15" s="16">
        <f t="shared" si="0"/>
        <v>4</v>
      </c>
      <c r="Y15" s="13" t="str">
        <f t="shared" si="1"/>
        <v>Atteint</v>
      </c>
    </row>
    <row r="16" spans="1:25" ht="18" customHeight="1">
      <c r="A16" s="12" t="s">
        <v>18</v>
      </c>
      <c r="B16" s="13"/>
      <c r="C16" s="13"/>
      <c r="D16" s="13"/>
      <c r="E16" s="14"/>
      <c r="F16" s="15">
        <v>1</v>
      </c>
      <c r="G16" s="13"/>
      <c r="H16" s="13"/>
      <c r="I16" s="13"/>
      <c r="J16" s="14"/>
      <c r="K16" s="13"/>
      <c r="L16" s="13"/>
      <c r="M16" s="13"/>
      <c r="N16" s="13"/>
      <c r="O16" s="14"/>
      <c r="P16" s="13"/>
      <c r="Q16" s="13"/>
      <c r="R16" s="15">
        <v>1</v>
      </c>
      <c r="S16" s="13"/>
      <c r="T16" s="14"/>
      <c r="U16" s="13"/>
      <c r="V16" s="13"/>
      <c r="W16" s="13"/>
      <c r="X16" s="16">
        <f t="shared" si="0"/>
        <v>2</v>
      </c>
      <c r="Y16" s="13" t="str">
        <f t="shared" si="1"/>
        <v>Atteint</v>
      </c>
    </row>
    <row r="17" spans="1:25" ht="18" customHeight="1">
      <c r="A17" s="12" t="s">
        <v>19</v>
      </c>
      <c r="B17" s="13"/>
      <c r="C17" s="13"/>
      <c r="D17" s="13"/>
      <c r="E17" s="14"/>
      <c r="F17" s="15">
        <v>1</v>
      </c>
      <c r="G17" s="13"/>
      <c r="H17" s="13"/>
      <c r="I17" s="13"/>
      <c r="J17" s="14"/>
      <c r="K17" s="13"/>
      <c r="L17" s="13"/>
      <c r="M17" s="13"/>
      <c r="N17" s="13"/>
      <c r="O17" s="20" t="s">
        <v>6</v>
      </c>
      <c r="P17" s="13"/>
      <c r="Q17" s="19" t="s">
        <v>6</v>
      </c>
      <c r="R17" s="13"/>
      <c r="S17" s="13"/>
      <c r="T17" s="14"/>
      <c r="U17" s="13"/>
      <c r="V17" s="13"/>
      <c r="W17" s="13"/>
      <c r="X17" s="16">
        <f t="shared" si="0"/>
        <v>3</v>
      </c>
      <c r="Y17" s="13" t="str">
        <f t="shared" si="1"/>
        <v>Atteint</v>
      </c>
    </row>
    <row r="18" spans="1:25" ht="18" customHeight="1">
      <c r="A18" s="12" t="s">
        <v>20</v>
      </c>
      <c r="B18" s="13"/>
      <c r="C18" s="13"/>
      <c r="D18" s="13"/>
      <c r="E18" s="14"/>
      <c r="F18" s="15">
        <v>1</v>
      </c>
      <c r="G18" s="13"/>
      <c r="H18" s="13"/>
      <c r="I18" s="13"/>
      <c r="J18" s="14"/>
      <c r="K18" s="13"/>
      <c r="L18" s="13"/>
      <c r="M18" s="13"/>
      <c r="N18" s="13"/>
      <c r="O18" s="14"/>
      <c r="P18" s="13"/>
      <c r="Q18" s="13"/>
      <c r="R18" s="15">
        <v>1</v>
      </c>
      <c r="S18" s="13"/>
      <c r="T18" s="14"/>
      <c r="U18" s="13"/>
      <c r="V18" s="13"/>
      <c r="W18" s="13"/>
      <c r="X18" s="16">
        <f t="shared" si="0"/>
        <v>2</v>
      </c>
      <c r="Y18" s="13" t="str">
        <f t="shared" si="1"/>
        <v>Atteint</v>
      </c>
    </row>
    <row r="19" spans="1:25" ht="18" customHeight="1">
      <c r="A19" s="12" t="s">
        <v>21</v>
      </c>
      <c r="B19" s="13"/>
      <c r="C19" s="13"/>
      <c r="D19" s="13"/>
      <c r="E19" s="14"/>
      <c r="F19" s="15">
        <v>1</v>
      </c>
      <c r="G19" s="13"/>
      <c r="H19" s="13"/>
      <c r="I19" s="13"/>
      <c r="J19" s="14"/>
      <c r="K19" s="13"/>
      <c r="L19" s="13"/>
      <c r="M19" s="13"/>
      <c r="N19" s="13"/>
      <c r="O19" s="14"/>
      <c r="P19" s="13"/>
      <c r="Q19" s="13"/>
      <c r="R19" s="15">
        <v>1</v>
      </c>
      <c r="S19" s="13"/>
      <c r="T19" s="14"/>
      <c r="U19" s="13">
        <v>1</v>
      </c>
      <c r="V19" s="13"/>
      <c r="W19" s="13"/>
      <c r="X19" s="16">
        <f t="shared" si="0"/>
        <v>3</v>
      </c>
      <c r="Y19" s="13" t="str">
        <f t="shared" si="1"/>
        <v>Atteint</v>
      </c>
    </row>
    <row r="20" spans="1:25" ht="18" customHeight="1">
      <c r="A20" s="12" t="s">
        <v>22</v>
      </c>
      <c r="B20" s="13"/>
      <c r="C20" s="13"/>
      <c r="D20" s="13"/>
      <c r="E20" s="14"/>
      <c r="F20" s="13"/>
      <c r="G20" s="13"/>
      <c r="H20" s="15">
        <v>1</v>
      </c>
      <c r="I20" s="13"/>
      <c r="J20" s="14"/>
      <c r="K20" s="13"/>
      <c r="L20" s="15">
        <v>1</v>
      </c>
      <c r="M20" s="13"/>
      <c r="N20" s="13"/>
      <c r="O20" s="14"/>
      <c r="P20" s="13"/>
      <c r="Q20" s="13"/>
      <c r="R20" s="15">
        <v>1</v>
      </c>
      <c r="S20" s="13"/>
      <c r="T20" s="14"/>
      <c r="U20" s="13"/>
      <c r="V20" s="13"/>
      <c r="W20" s="13"/>
      <c r="X20" s="16">
        <f t="shared" si="0"/>
        <v>3</v>
      </c>
      <c r="Y20" s="13" t="str">
        <f t="shared" si="1"/>
        <v>Atteint</v>
      </c>
    </row>
    <row r="21" spans="1:25" ht="18" customHeight="1">
      <c r="A21" s="12" t="s">
        <v>23</v>
      </c>
      <c r="B21" s="13"/>
      <c r="C21" s="13"/>
      <c r="D21" s="13"/>
      <c r="E21" s="14"/>
      <c r="F21" s="15">
        <v>1</v>
      </c>
      <c r="G21" s="13"/>
      <c r="H21" s="13"/>
      <c r="I21" s="13"/>
      <c r="J21" s="21">
        <v>1</v>
      </c>
      <c r="K21" s="13"/>
      <c r="L21" s="13"/>
      <c r="M21" s="13"/>
      <c r="N21" s="13"/>
      <c r="O21" s="14"/>
      <c r="P21" s="13"/>
      <c r="Q21" s="13"/>
      <c r="R21" s="15">
        <v>1</v>
      </c>
      <c r="S21" s="13"/>
      <c r="T21" s="14"/>
      <c r="U21" s="13"/>
      <c r="V21" s="13"/>
      <c r="W21" s="13"/>
      <c r="X21" s="16">
        <f t="shared" si="0"/>
        <v>3</v>
      </c>
      <c r="Y21" s="13" t="str">
        <f t="shared" si="1"/>
        <v>Atteint</v>
      </c>
    </row>
    <row r="22" spans="1:25" ht="18" customHeight="1">
      <c r="A22" s="12" t="s">
        <v>110</v>
      </c>
      <c r="B22" s="13"/>
      <c r="C22" s="13"/>
      <c r="D22" s="13"/>
      <c r="E22" s="14"/>
      <c r="F22" s="13"/>
      <c r="G22" s="13"/>
      <c r="H22" s="13"/>
      <c r="I22" s="13"/>
      <c r="J22" s="14"/>
      <c r="K22" s="13"/>
      <c r="L22" s="13"/>
      <c r="M22" s="15">
        <v>1</v>
      </c>
      <c r="N22" s="13"/>
      <c r="O22" s="14"/>
      <c r="P22" s="13"/>
      <c r="Q22" s="13"/>
      <c r="R22" s="15">
        <v>1</v>
      </c>
      <c r="S22" s="13"/>
      <c r="T22" s="14"/>
      <c r="U22" s="13"/>
      <c r="V22" s="13"/>
      <c r="W22" s="13"/>
      <c r="X22" s="16">
        <f t="shared" si="0"/>
        <v>2</v>
      </c>
      <c r="Y22" s="13" t="str">
        <f t="shared" si="1"/>
        <v>Atteint</v>
      </c>
    </row>
    <row r="23" spans="1:25" ht="18" customHeight="1">
      <c r="A23" s="12" t="s">
        <v>24</v>
      </c>
      <c r="B23" s="13"/>
      <c r="C23" s="13"/>
      <c r="D23" s="13"/>
      <c r="E23" s="14"/>
      <c r="F23" s="13"/>
      <c r="G23" s="13"/>
      <c r="H23" s="13"/>
      <c r="I23" s="13"/>
      <c r="J23" s="14"/>
      <c r="K23" s="13"/>
      <c r="L23" s="13"/>
      <c r="M23" s="15">
        <v>1</v>
      </c>
      <c r="N23" s="13"/>
      <c r="O23" s="14"/>
      <c r="P23" s="13"/>
      <c r="Q23" s="13"/>
      <c r="R23" s="15">
        <v>1</v>
      </c>
      <c r="S23" s="13"/>
      <c r="T23" s="14"/>
      <c r="U23" s="13"/>
      <c r="V23" s="13"/>
      <c r="W23" s="13"/>
      <c r="X23" s="16">
        <f t="shared" si="0"/>
        <v>2</v>
      </c>
      <c r="Y23" s="13" t="str">
        <f t="shared" si="1"/>
        <v>Atteint</v>
      </c>
    </row>
    <row r="24" spans="1:25" ht="18" customHeight="1">
      <c r="A24" s="12" t="s">
        <v>25</v>
      </c>
      <c r="B24" s="13"/>
      <c r="C24" s="19" t="s">
        <v>6</v>
      </c>
      <c r="D24" s="13"/>
      <c r="E24" s="14"/>
      <c r="F24" s="13"/>
      <c r="G24" s="13"/>
      <c r="H24" s="13"/>
      <c r="I24" s="13"/>
      <c r="J24" s="14"/>
      <c r="K24" s="13"/>
      <c r="L24" s="13"/>
      <c r="M24" s="13"/>
      <c r="N24" s="13"/>
      <c r="O24" s="14"/>
      <c r="P24" s="13"/>
      <c r="Q24" s="13"/>
      <c r="R24" s="15">
        <v>1</v>
      </c>
      <c r="S24" s="13"/>
      <c r="T24" s="14"/>
      <c r="U24" s="13"/>
      <c r="V24" s="13"/>
      <c r="W24" s="13"/>
      <c r="X24" s="16">
        <f t="shared" si="0"/>
        <v>2</v>
      </c>
      <c r="Y24" s="13" t="str">
        <f t="shared" si="1"/>
        <v>Atteint</v>
      </c>
    </row>
    <row r="25" spans="1:25" ht="18" customHeight="1">
      <c r="A25" s="12" t="s">
        <v>26</v>
      </c>
      <c r="B25" s="13"/>
      <c r="C25" s="13"/>
      <c r="D25" s="13"/>
      <c r="E25" s="14"/>
      <c r="F25" s="13"/>
      <c r="G25" s="13"/>
      <c r="H25" s="13"/>
      <c r="I25" s="13"/>
      <c r="J25" s="21">
        <v>1</v>
      </c>
      <c r="K25" s="13"/>
      <c r="L25" s="13"/>
      <c r="M25" s="13"/>
      <c r="N25" s="13"/>
      <c r="O25" s="14"/>
      <c r="P25" s="13"/>
      <c r="Q25" s="13"/>
      <c r="R25" s="15">
        <v>1</v>
      </c>
      <c r="S25" s="13"/>
      <c r="T25" s="14"/>
      <c r="U25" s="13"/>
      <c r="V25" s="13"/>
      <c r="W25" s="13"/>
      <c r="X25" s="16">
        <f t="shared" si="0"/>
        <v>2</v>
      </c>
      <c r="Y25" s="13" t="str">
        <f t="shared" si="1"/>
        <v>Atteint</v>
      </c>
    </row>
    <row r="26" spans="1:25" ht="18" customHeight="1">
      <c r="A26" s="12" t="s">
        <v>111</v>
      </c>
      <c r="B26" s="13"/>
      <c r="C26" s="13"/>
      <c r="D26" s="13"/>
      <c r="E26" s="14"/>
      <c r="F26" s="13"/>
      <c r="G26" s="13"/>
      <c r="H26" s="13"/>
      <c r="I26" s="13"/>
      <c r="J26" s="14"/>
      <c r="K26" s="13"/>
      <c r="L26" s="13"/>
      <c r="M26" s="13"/>
      <c r="N26" s="13"/>
      <c r="O26" s="14"/>
      <c r="P26" s="13"/>
      <c r="Q26" s="13"/>
      <c r="R26" s="15">
        <v>1</v>
      </c>
      <c r="S26" s="13"/>
      <c r="T26" s="14"/>
      <c r="U26" s="13"/>
      <c r="V26" s="13"/>
      <c r="W26" s="13"/>
      <c r="X26" s="16">
        <f t="shared" si="0"/>
        <v>1</v>
      </c>
      <c r="Y26" s="13" t="str">
        <f t="shared" si="1"/>
        <v>Sous objectif</v>
      </c>
    </row>
    <row r="27" spans="1:25" ht="18" customHeight="1">
      <c r="A27" s="12" t="s">
        <v>27</v>
      </c>
      <c r="B27" s="13"/>
      <c r="C27" s="13"/>
      <c r="D27" s="13"/>
      <c r="E27" s="14"/>
      <c r="F27" s="13"/>
      <c r="G27" s="13"/>
      <c r="H27" s="13"/>
      <c r="I27" s="13"/>
      <c r="J27" s="14"/>
      <c r="K27" s="13"/>
      <c r="L27" s="13"/>
      <c r="M27" s="13"/>
      <c r="N27" s="13"/>
      <c r="O27" s="14"/>
      <c r="P27" s="13"/>
      <c r="Q27" s="13"/>
      <c r="R27" s="15">
        <v>1</v>
      </c>
      <c r="S27" s="13"/>
      <c r="T27" s="14"/>
      <c r="U27" s="13">
        <v>1</v>
      </c>
      <c r="V27" s="13"/>
      <c r="W27" s="13"/>
      <c r="X27" s="16">
        <f t="shared" si="0"/>
        <v>2</v>
      </c>
      <c r="Y27" s="13" t="str">
        <f t="shared" si="1"/>
        <v>Atteint</v>
      </c>
    </row>
    <row r="28" spans="1:25" ht="18" customHeight="1">
      <c r="A28" s="12" t="s">
        <v>28</v>
      </c>
      <c r="B28" s="13"/>
      <c r="C28" s="13"/>
      <c r="D28" s="13"/>
      <c r="E28" s="14"/>
      <c r="F28" s="15">
        <v>1</v>
      </c>
      <c r="G28" s="13"/>
      <c r="H28" s="13"/>
      <c r="I28" s="13"/>
      <c r="J28" s="14"/>
      <c r="K28" s="15">
        <v>1</v>
      </c>
      <c r="L28" s="13"/>
      <c r="M28" s="13"/>
      <c r="N28" s="13"/>
      <c r="O28" s="14"/>
      <c r="P28" s="13"/>
      <c r="Q28" s="13"/>
      <c r="R28" s="15">
        <v>1</v>
      </c>
      <c r="S28" s="13"/>
      <c r="T28" s="14"/>
      <c r="U28" s="13"/>
      <c r="V28" s="13"/>
      <c r="W28" s="13"/>
      <c r="X28" s="16">
        <f t="shared" si="0"/>
        <v>3</v>
      </c>
      <c r="Y28" s="13" t="str">
        <f t="shared" si="1"/>
        <v>Atteint</v>
      </c>
    </row>
    <row r="29" spans="1:25" ht="18" customHeight="1">
      <c r="A29" s="12" t="s">
        <v>29</v>
      </c>
      <c r="B29" s="13"/>
      <c r="C29" s="13"/>
      <c r="D29" s="13"/>
      <c r="E29" s="14"/>
      <c r="F29" s="15">
        <v>1</v>
      </c>
      <c r="G29" s="13"/>
      <c r="H29" s="13"/>
      <c r="I29" s="13"/>
      <c r="J29" s="14"/>
      <c r="K29" s="15">
        <v>1</v>
      </c>
      <c r="L29" s="13"/>
      <c r="M29" s="13"/>
      <c r="N29" s="13"/>
      <c r="O29" s="14"/>
      <c r="P29" s="15">
        <v>1</v>
      </c>
      <c r="Q29" s="13"/>
      <c r="R29" s="15">
        <v>1</v>
      </c>
      <c r="S29" s="13"/>
      <c r="T29" s="14"/>
      <c r="U29" s="13"/>
      <c r="V29" s="13"/>
      <c r="W29" s="13"/>
      <c r="X29" s="16">
        <f t="shared" si="0"/>
        <v>4</v>
      </c>
      <c r="Y29" s="13" t="str">
        <f t="shared" si="1"/>
        <v>Atteint</v>
      </c>
    </row>
    <row r="31" spans="1:25" ht="15.75" customHeight="1">
      <c r="A31" s="22" t="s">
        <v>30</v>
      </c>
    </row>
    <row r="32" spans="1:25" ht="15.75" customHeight="1">
      <c r="A32" s="23" t="s">
        <v>31</v>
      </c>
      <c r="B32" s="13"/>
      <c r="C32" s="13"/>
      <c r="D32" s="13"/>
      <c r="E32" s="14"/>
      <c r="F32" s="13"/>
      <c r="G32" s="13"/>
      <c r="H32" s="13"/>
      <c r="I32" s="13"/>
      <c r="J32" s="14"/>
      <c r="K32" s="13"/>
      <c r="L32" s="13"/>
      <c r="M32" s="13"/>
      <c r="N32" s="13"/>
      <c r="O32" s="14"/>
      <c r="P32" s="13"/>
      <c r="Q32" s="13"/>
      <c r="R32" s="24" t="s">
        <v>51</v>
      </c>
      <c r="S32" s="13"/>
      <c r="T32" s="14"/>
      <c r="U32" s="13"/>
      <c r="V32" s="13"/>
      <c r="W32" s="13"/>
    </row>
    <row r="33" spans="1:23" ht="15.75" customHeight="1">
      <c r="A33" s="23" t="s">
        <v>32</v>
      </c>
      <c r="B33" s="13"/>
      <c r="C33" s="13"/>
      <c r="D33" s="13"/>
      <c r="E33" s="14"/>
      <c r="F33" s="13"/>
      <c r="G33" s="13"/>
      <c r="H33" s="13"/>
      <c r="I33" s="13"/>
      <c r="J33" s="14"/>
      <c r="K33" s="13"/>
      <c r="L33" s="13"/>
      <c r="M33" s="13"/>
      <c r="N33" s="13"/>
      <c r="O33" s="14"/>
      <c r="P33" s="13"/>
      <c r="Q33" s="13"/>
      <c r="R33" s="13"/>
      <c r="S33" s="13"/>
      <c r="T33" s="14"/>
      <c r="U33" s="13"/>
      <c r="V33" s="13"/>
      <c r="W33" s="13"/>
    </row>
    <row r="34" spans="1:23" ht="15.75" customHeight="1">
      <c r="A34" s="23" t="s">
        <v>33</v>
      </c>
      <c r="B34" s="13"/>
      <c r="C34" s="13"/>
      <c r="D34" s="13"/>
      <c r="E34" s="14"/>
      <c r="F34" s="13"/>
      <c r="G34" s="13"/>
      <c r="H34" s="13"/>
      <c r="I34" s="13"/>
      <c r="J34" s="14"/>
      <c r="K34" s="13"/>
      <c r="L34" s="13"/>
      <c r="M34" s="13"/>
      <c r="N34" s="13"/>
      <c r="O34" s="14"/>
      <c r="P34" s="13"/>
      <c r="Q34" s="13"/>
      <c r="R34" s="13"/>
      <c r="S34" s="13"/>
      <c r="T34" s="14"/>
      <c r="U34" s="13"/>
      <c r="V34" s="13"/>
      <c r="W34" s="13"/>
    </row>
  </sheetData>
  <mergeCells count="1">
    <mergeCell ref="A1:Y1"/>
  </mergeCells>
  <conditionalFormatting sqref="B4:W29">
    <cfRule type="cellIs" dxfId="22" priority="2" operator="equal">
      <formula>1</formula>
    </cfRule>
    <cfRule type="cellIs" dxfId="21" priority="3" operator="equal">
      <formula>"IC"</formula>
    </cfRule>
    <cfRule type="cellIs" dxfId="20" priority="4" operator="equal">
      <formula>"M"</formula>
    </cfRule>
  </conditionalFormatting>
  <conditionalFormatting sqref="B32:W34">
    <cfRule type="cellIs" dxfId="19" priority="5" operator="equal">
      <formula>"X"</formula>
    </cfRule>
  </conditionalFormatting>
  <dataValidations count="2">
    <dataValidation type="list" allowBlank="1" showErrorMessage="1" errorTitle="Valeur invalide" error="Valeurs autorisées : X ou vide." sqref="B32:W34" xr:uid="{00000000-0002-0000-0500-000000000000}">
      <formula1>"X"</formula1>
      <formula2>0</formula2>
    </dataValidation>
    <dataValidation type="list" allowBlank="1" showErrorMessage="1" errorTitle="Valeur invalide" error="Valeurs autorisées : 1, IC, M ou vide." sqref="B4:W29" xr:uid="{00000000-0002-0000-0500-000001000000}">
      <formula1>"1,IC,M"</formula1>
      <formula2>0</formula2>
    </dataValidation>
  </dataValidations>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34"/>
  <sheetViews>
    <sheetView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8.83203125" defaultRowHeight="15"/>
  <cols>
    <col min="1" max="1" width="26" customWidth="1"/>
    <col min="2" max="21" width="8" customWidth="1"/>
    <col min="22" max="22" width="18" customWidth="1"/>
  </cols>
  <sheetData>
    <row r="1" spans="1:22" ht="21.75" customHeight="1">
      <c r="A1" s="41" t="s">
        <v>134</v>
      </c>
      <c r="B1" s="40"/>
      <c r="C1" s="40"/>
      <c r="D1" s="40"/>
      <c r="E1" s="40"/>
      <c r="F1" s="40"/>
      <c r="G1" s="40"/>
      <c r="H1" s="40"/>
      <c r="I1" s="40"/>
      <c r="J1" s="40"/>
      <c r="K1" s="40"/>
      <c r="L1" s="40"/>
      <c r="M1" s="40"/>
      <c r="N1" s="40"/>
      <c r="O1" s="40"/>
      <c r="P1" s="40"/>
      <c r="Q1" s="40"/>
      <c r="R1" s="40"/>
      <c r="S1" s="40"/>
      <c r="T1" s="40"/>
      <c r="U1" s="40"/>
    </row>
    <row r="3" spans="1:22" ht="21.75" customHeight="1">
      <c r="A3" s="7" t="s">
        <v>1</v>
      </c>
      <c r="B3" s="8">
        <v>46146</v>
      </c>
      <c r="C3" s="8">
        <v>46147</v>
      </c>
      <c r="D3" s="8">
        <v>46148</v>
      </c>
      <c r="E3" s="8">
        <v>46149</v>
      </c>
      <c r="F3" s="8">
        <v>46150</v>
      </c>
      <c r="G3" s="8">
        <v>46153</v>
      </c>
      <c r="H3" s="8">
        <v>46154</v>
      </c>
      <c r="I3" s="8">
        <v>46155</v>
      </c>
      <c r="J3" s="8">
        <v>46157</v>
      </c>
      <c r="K3" s="8">
        <v>46160</v>
      </c>
      <c r="L3" s="8">
        <v>46161</v>
      </c>
      <c r="M3" s="8">
        <v>46162</v>
      </c>
      <c r="N3" s="8">
        <v>46163</v>
      </c>
      <c r="O3" s="8">
        <v>46164</v>
      </c>
      <c r="P3" s="8">
        <v>46168</v>
      </c>
      <c r="Q3" s="8">
        <v>46169</v>
      </c>
      <c r="R3" s="8">
        <v>46170</v>
      </c>
      <c r="S3" s="8">
        <v>46171</v>
      </c>
      <c r="T3" s="10" t="s">
        <v>2</v>
      </c>
      <c r="U3" s="11" t="s">
        <v>3</v>
      </c>
      <c r="V3" s="11"/>
    </row>
    <row r="4" spans="1:22" ht="18" customHeight="1">
      <c r="A4" s="12" t="s">
        <v>4</v>
      </c>
      <c r="B4" s="13"/>
      <c r="C4" s="13"/>
      <c r="D4" s="14">
        <v>1</v>
      </c>
      <c r="E4" s="13"/>
      <c r="F4" s="13"/>
      <c r="G4" s="13"/>
      <c r="H4" s="13"/>
      <c r="I4" s="14"/>
      <c r="J4" s="13"/>
      <c r="K4" s="13"/>
      <c r="L4" s="13">
        <v>1</v>
      </c>
      <c r="M4" s="14"/>
      <c r="N4" s="13"/>
      <c r="O4" s="13"/>
      <c r="P4" s="13"/>
      <c r="Q4" s="14"/>
      <c r="R4" s="13">
        <v>1</v>
      </c>
      <c r="S4" s="13"/>
      <c r="T4" s="16">
        <f t="shared" ref="T4:T29" si="0">COUNTIF(B4:S4,1)+COUNTIF(B4:S4,"IC")</f>
        <v>3</v>
      </c>
      <c r="U4" s="13" t="str">
        <f t="shared" ref="U4:U29" si="1">IF(COUNTIF(B4:S4,"M")&gt;0,"N/A absence longue",IF(T4&gt;=2,"Atteint","Sous objectif"))</f>
        <v>Atteint</v>
      </c>
      <c r="V4" s="13"/>
    </row>
    <row r="5" spans="1:22" ht="18" customHeight="1">
      <c r="A5" s="12" t="s">
        <v>5</v>
      </c>
      <c r="B5" s="13" t="s">
        <v>6</v>
      </c>
      <c r="C5" s="13" t="s">
        <v>6</v>
      </c>
      <c r="D5" s="14"/>
      <c r="E5" s="13" t="s">
        <v>6</v>
      </c>
      <c r="F5" s="13"/>
      <c r="G5" s="13"/>
      <c r="H5" s="13" t="s">
        <v>6</v>
      </c>
      <c r="I5" s="14"/>
      <c r="J5" s="13"/>
      <c r="K5" s="13" t="s">
        <v>6</v>
      </c>
      <c r="L5" s="13" t="s">
        <v>6</v>
      </c>
      <c r="M5" s="14"/>
      <c r="N5" s="13" t="s">
        <v>6</v>
      </c>
      <c r="O5" s="13"/>
      <c r="P5" s="13"/>
      <c r="Q5" s="14"/>
      <c r="R5" s="13" t="s">
        <v>6</v>
      </c>
      <c r="S5" s="13"/>
      <c r="T5" s="16">
        <f t="shared" si="0"/>
        <v>8</v>
      </c>
      <c r="U5" s="13" t="str">
        <f t="shared" si="1"/>
        <v>Atteint</v>
      </c>
      <c r="V5" s="13"/>
    </row>
    <row r="6" spans="1:22" ht="18" customHeight="1">
      <c r="A6" s="12" t="s">
        <v>7</v>
      </c>
      <c r="B6" s="13"/>
      <c r="C6" s="13"/>
      <c r="D6" s="14"/>
      <c r="E6" s="13"/>
      <c r="F6" s="13"/>
      <c r="G6" s="13"/>
      <c r="H6" s="13"/>
      <c r="I6" s="14"/>
      <c r="J6" s="13"/>
      <c r="K6" s="13"/>
      <c r="L6" s="13"/>
      <c r="M6" s="14"/>
      <c r="N6" s="13"/>
      <c r="O6" s="13"/>
      <c r="P6" s="13"/>
      <c r="Q6" s="14"/>
      <c r="R6" s="13">
        <v>1</v>
      </c>
      <c r="S6" s="13"/>
      <c r="T6" s="16">
        <f t="shared" si="0"/>
        <v>1</v>
      </c>
      <c r="U6" s="13" t="str">
        <f t="shared" si="1"/>
        <v>Sous objectif</v>
      </c>
      <c r="V6" s="13"/>
    </row>
    <row r="7" spans="1:22" ht="18" customHeight="1">
      <c r="A7" s="12" t="s">
        <v>8</v>
      </c>
      <c r="B7" s="13"/>
      <c r="C7" s="13"/>
      <c r="D7" s="14"/>
      <c r="E7" s="13"/>
      <c r="F7" s="13"/>
      <c r="G7" s="13"/>
      <c r="H7" s="13"/>
      <c r="I7" s="14"/>
      <c r="J7" s="13"/>
      <c r="K7" s="13"/>
      <c r="L7" s="13">
        <v>1</v>
      </c>
      <c r="M7" s="14"/>
      <c r="N7" s="13">
        <v>1</v>
      </c>
      <c r="O7" s="13"/>
      <c r="P7" s="13">
        <v>1</v>
      </c>
      <c r="Q7" s="14">
        <v>1</v>
      </c>
      <c r="R7" s="13">
        <v>1</v>
      </c>
      <c r="S7" s="13"/>
      <c r="T7" s="16">
        <f t="shared" si="0"/>
        <v>5</v>
      </c>
      <c r="U7" s="13" t="str">
        <f t="shared" si="1"/>
        <v>Atteint</v>
      </c>
      <c r="V7" s="13"/>
    </row>
    <row r="8" spans="1:22" ht="18" customHeight="1">
      <c r="A8" s="12" t="s">
        <v>10</v>
      </c>
      <c r="B8" s="13" t="s">
        <v>6</v>
      </c>
      <c r="C8" s="13" t="s">
        <v>6</v>
      </c>
      <c r="D8" s="14" t="s">
        <v>6</v>
      </c>
      <c r="E8" s="13" t="s">
        <v>6</v>
      </c>
      <c r="F8" s="13"/>
      <c r="G8" s="13" t="s">
        <v>6</v>
      </c>
      <c r="H8" s="13" t="s">
        <v>6</v>
      </c>
      <c r="I8" s="14"/>
      <c r="J8" s="13" t="s">
        <v>6</v>
      </c>
      <c r="K8" s="13" t="s">
        <v>6</v>
      </c>
      <c r="L8" s="13" t="s">
        <v>6</v>
      </c>
      <c r="M8" s="14"/>
      <c r="N8" s="13" t="s">
        <v>6</v>
      </c>
      <c r="O8" s="13"/>
      <c r="P8" s="13"/>
      <c r="Q8" s="14"/>
      <c r="R8" s="13">
        <v>1</v>
      </c>
      <c r="S8" s="13"/>
      <c r="T8" s="16">
        <f t="shared" si="0"/>
        <v>11</v>
      </c>
      <c r="U8" s="13" t="str">
        <f t="shared" si="1"/>
        <v>Atteint</v>
      </c>
      <c r="V8" s="13"/>
    </row>
    <row r="9" spans="1:22" ht="18" customHeight="1">
      <c r="A9" s="12" t="s">
        <v>11</v>
      </c>
      <c r="B9" s="13" t="s">
        <v>6</v>
      </c>
      <c r="C9" s="13"/>
      <c r="D9" s="14" t="s">
        <v>6</v>
      </c>
      <c r="E9" s="13" t="s">
        <v>6</v>
      </c>
      <c r="F9" s="13"/>
      <c r="G9" s="13" t="s">
        <v>6</v>
      </c>
      <c r="H9" s="13" t="s">
        <v>6</v>
      </c>
      <c r="I9" s="14"/>
      <c r="J9" s="13" t="s">
        <v>6</v>
      </c>
      <c r="K9" s="13" t="s">
        <v>6</v>
      </c>
      <c r="L9" s="13" t="s">
        <v>6</v>
      </c>
      <c r="M9" s="14"/>
      <c r="N9" s="13" t="s">
        <v>6</v>
      </c>
      <c r="O9" s="13"/>
      <c r="P9" s="13"/>
      <c r="Q9" s="14"/>
      <c r="R9" s="13">
        <v>1</v>
      </c>
      <c r="S9" s="13"/>
      <c r="T9" s="16">
        <f t="shared" si="0"/>
        <v>10</v>
      </c>
      <c r="U9" s="13" t="str">
        <f t="shared" si="1"/>
        <v>Atteint</v>
      </c>
      <c r="V9" s="13"/>
    </row>
    <row r="10" spans="1:22" ht="18" customHeight="1">
      <c r="A10" s="12" t="s">
        <v>12</v>
      </c>
      <c r="B10" s="13"/>
      <c r="C10" s="13">
        <v>1</v>
      </c>
      <c r="D10" s="14"/>
      <c r="E10" s="13">
        <v>1</v>
      </c>
      <c r="F10" s="13"/>
      <c r="G10" s="13"/>
      <c r="H10" s="13">
        <v>1</v>
      </c>
      <c r="I10" s="14"/>
      <c r="J10" s="13"/>
      <c r="K10" s="13"/>
      <c r="L10" s="13">
        <v>1</v>
      </c>
      <c r="M10" s="14"/>
      <c r="N10" s="13">
        <v>1</v>
      </c>
      <c r="O10" s="13"/>
      <c r="P10" s="13"/>
      <c r="Q10" s="14"/>
      <c r="R10" s="13">
        <v>1</v>
      </c>
      <c r="S10" s="13"/>
      <c r="T10" s="16">
        <f t="shared" si="0"/>
        <v>6</v>
      </c>
      <c r="U10" s="13" t="str">
        <f t="shared" si="1"/>
        <v>Atteint</v>
      </c>
      <c r="V10" s="13"/>
    </row>
    <row r="11" spans="1:22" ht="18" customHeight="1">
      <c r="A11" s="12" t="s">
        <v>13</v>
      </c>
      <c r="B11" s="13"/>
      <c r="C11" s="13"/>
      <c r="D11" s="14"/>
      <c r="E11" s="13"/>
      <c r="F11" s="13"/>
      <c r="G11" s="13"/>
      <c r="H11" s="13"/>
      <c r="I11" s="14"/>
      <c r="J11" s="13"/>
      <c r="K11" s="13"/>
      <c r="L11" s="13"/>
      <c r="M11" s="14"/>
      <c r="N11" s="13">
        <v>1</v>
      </c>
      <c r="O11" s="13"/>
      <c r="P11" s="13"/>
      <c r="Q11" s="14"/>
      <c r="R11" s="13"/>
      <c r="S11" s="13"/>
      <c r="T11" s="16">
        <f t="shared" si="0"/>
        <v>1</v>
      </c>
      <c r="U11" s="13" t="str">
        <f t="shared" si="1"/>
        <v>Sous objectif</v>
      </c>
      <c r="V11" s="13"/>
    </row>
    <row r="12" spans="1:22" ht="18" customHeight="1">
      <c r="A12" s="12" t="s">
        <v>14</v>
      </c>
      <c r="B12" s="13"/>
      <c r="C12" s="13"/>
      <c r="D12" s="14"/>
      <c r="E12" s="13"/>
      <c r="F12" s="13"/>
      <c r="G12" s="13"/>
      <c r="H12" s="13"/>
      <c r="I12" s="14"/>
      <c r="J12" s="13"/>
      <c r="K12" s="13"/>
      <c r="L12" s="13"/>
      <c r="M12" s="14"/>
      <c r="N12" s="13"/>
      <c r="O12" s="13"/>
      <c r="P12" s="13"/>
      <c r="Q12" s="14"/>
      <c r="R12" s="13">
        <v>1</v>
      </c>
      <c r="S12" s="13"/>
      <c r="T12" s="16">
        <f t="shared" si="0"/>
        <v>1</v>
      </c>
      <c r="U12" s="13" t="str">
        <f t="shared" si="1"/>
        <v>Sous objectif</v>
      </c>
      <c r="V12" s="13"/>
    </row>
    <row r="13" spans="1:22" ht="18" customHeight="1">
      <c r="A13" s="12" t="s">
        <v>15</v>
      </c>
      <c r="B13" s="13"/>
      <c r="C13" s="13"/>
      <c r="D13" s="14"/>
      <c r="E13" s="13"/>
      <c r="F13" s="13"/>
      <c r="G13" s="13"/>
      <c r="H13" s="13"/>
      <c r="I13" s="14"/>
      <c r="J13" s="13"/>
      <c r="K13" s="13"/>
      <c r="L13" s="13">
        <v>1</v>
      </c>
      <c r="M13" s="14"/>
      <c r="N13" s="13"/>
      <c r="O13" s="13"/>
      <c r="P13" s="13"/>
      <c r="Q13" s="14"/>
      <c r="R13" s="13"/>
      <c r="S13" s="13"/>
      <c r="T13" s="16">
        <f t="shared" si="0"/>
        <v>1</v>
      </c>
      <c r="U13" s="13" t="str">
        <f t="shared" si="1"/>
        <v>Sous objectif</v>
      </c>
      <c r="V13" s="13"/>
    </row>
    <row r="14" spans="1:22" ht="18" customHeight="1">
      <c r="A14" s="12" t="s">
        <v>16</v>
      </c>
      <c r="B14" s="13"/>
      <c r="C14" s="13"/>
      <c r="D14" s="14"/>
      <c r="E14" s="13"/>
      <c r="F14" s="13"/>
      <c r="G14" s="13"/>
      <c r="H14" s="13"/>
      <c r="I14" s="14"/>
      <c r="J14" s="13"/>
      <c r="K14" s="13"/>
      <c r="L14" s="13"/>
      <c r="M14" s="14"/>
      <c r="N14" s="13"/>
      <c r="O14" s="13"/>
      <c r="P14" s="13"/>
      <c r="Q14" s="14"/>
      <c r="R14" s="13">
        <v>1</v>
      </c>
      <c r="S14" s="13"/>
      <c r="T14" s="16">
        <f t="shared" si="0"/>
        <v>1</v>
      </c>
      <c r="U14" s="13" t="str">
        <f t="shared" si="1"/>
        <v>Sous objectif</v>
      </c>
      <c r="V14" s="13"/>
    </row>
    <row r="15" spans="1:22" ht="18" customHeight="1">
      <c r="A15" s="12" t="s">
        <v>17</v>
      </c>
      <c r="B15" s="13"/>
      <c r="C15" s="13"/>
      <c r="D15" s="14"/>
      <c r="E15" s="13"/>
      <c r="F15" s="13"/>
      <c r="G15" s="13"/>
      <c r="H15" s="13"/>
      <c r="I15" s="14">
        <v>1</v>
      </c>
      <c r="J15" s="13"/>
      <c r="K15" s="13"/>
      <c r="L15" s="13"/>
      <c r="M15" s="14"/>
      <c r="N15" s="13">
        <v>1</v>
      </c>
      <c r="O15" s="13"/>
      <c r="P15" s="13"/>
      <c r="Q15" s="14"/>
      <c r="R15" s="13">
        <v>1</v>
      </c>
      <c r="S15" s="13"/>
      <c r="T15" s="16">
        <f t="shared" si="0"/>
        <v>3</v>
      </c>
      <c r="U15" s="13" t="str">
        <f t="shared" si="1"/>
        <v>Atteint</v>
      </c>
      <c r="V15" s="13"/>
    </row>
    <row r="16" spans="1:22" ht="18" customHeight="1">
      <c r="A16" s="12" t="s">
        <v>18</v>
      </c>
      <c r="B16" s="13"/>
      <c r="C16" s="13"/>
      <c r="D16" s="14">
        <v>1</v>
      </c>
      <c r="E16" s="13"/>
      <c r="F16" s="13"/>
      <c r="G16" s="13"/>
      <c r="H16" s="13"/>
      <c r="I16" s="14"/>
      <c r="J16" s="13"/>
      <c r="K16" s="13"/>
      <c r="L16" s="13">
        <v>1</v>
      </c>
      <c r="M16" s="14"/>
      <c r="N16" s="13"/>
      <c r="O16" s="13"/>
      <c r="P16" s="13"/>
      <c r="Q16" s="14"/>
      <c r="R16" s="13">
        <v>1</v>
      </c>
      <c r="S16" s="13"/>
      <c r="T16" s="16">
        <f t="shared" si="0"/>
        <v>3</v>
      </c>
      <c r="U16" s="13" t="str">
        <f t="shared" si="1"/>
        <v>Atteint</v>
      </c>
      <c r="V16" s="13"/>
    </row>
    <row r="17" spans="1:22" ht="18" customHeight="1">
      <c r="A17" s="12" t="s">
        <v>19</v>
      </c>
      <c r="B17" s="13" t="s">
        <v>6</v>
      </c>
      <c r="C17" s="13"/>
      <c r="D17" s="14" t="s">
        <v>6</v>
      </c>
      <c r="E17" s="13" t="s">
        <v>6</v>
      </c>
      <c r="F17" s="13"/>
      <c r="G17" s="13" t="s">
        <v>6</v>
      </c>
      <c r="H17" s="13" t="s">
        <v>6</v>
      </c>
      <c r="I17" s="14"/>
      <c r="J17" s="13"/>
      <c r="K17" s="13"/>
      <c r="L17" s="13"/>
      <c r="M17" s="14"/>
      <c r="N17" s="13"/>
      <c r="O17" s="13"/>
      <c r="P17" s="13"/>
      <c r="Q17" s="14" t="s">
        <v>6</v>
      </c>
      <c r="R17" s="13" t="s">
        <v>6</v>
      </c>
      <c r="S17" s="13" t="s">
        <v>6</v>
      </c>
      <c r="T17" s="16">
        <f t="shared" si="0"/>
        <v>8</v>
      </c>
      <c r="U17" s="13" t="str">
        <f t="shared" si="1"/>
        <v>Atteint</v>
      </c>
      <c r="V17" s="13"/>
    </row>
    <row r="18" spans="1:22" ht="18" customHeight="1">
      <c r="A18" s="12" t="s">
        <v>20</v>
      </c>
      <c r="B18" s="13"/>
      <c r="C18" s="13"/>
      <c r="D18" s="14"/>
      <c r="E18" s="13"/>
      <c r="F18" s="13"/>
      <c r="G18" s="13"/>
      <c r="H18" s="13"/>
      <c r="I18" s="14"/>
      <c r="J18" s="13"/>
      <c r="K18" s="13"/>
      <c r="L18" s="13"/>
      <c r="M18" s="14"/>
      <c r="N18" s="13"/>
      <c r="O18" s="13"/>
      <c r="P18" s="13"/>
      <c r="Q18" s="14"/>
      <c r="R18" s="13">
        <v>1</v>
      </c>
      <c r="S18" s="13"/>
      <c r="T18" s="16">
        <f t="shared" si="0"/>
        <v>1</v>
      </c>
      <c r="U18" s="13" t="str">
        <f t="shared" si="1"/>
        <v>Sous objectif</v>
      </c>
      <c r="V18" s="13"/>
    </row>
    <row r="19" spans="1:22" ht="18" customHeight="1">
      <c r="A19" s="12" t="s">
        <v>21</v>
      </c>
      <c r="B19" s="13"/>
      <c r="C19" s="13"/>
      <c r="D19" s="14"/>
      <c r="E19" s="13"/>
      <c r="F19" s="13"/>
      <c r="G19" s="13"/>
      <c r="H19" s="13"/>
      <c r="I19" s="14"/>
      <c r="J19" s="13"/>
      <c r="K19" s="13"/>
      <c r="L19" s="13">
        <v>1</v>
      </c>
      <c r="M19" s="14"/>
      <c r="N19" s="13"/>
      <c r="O19" s="13"/>
      <c r="P19" s="13"/>
      <c r="Q19" s="14"/>
      <c r="R19" s="13">
        <v>1</v>
      </c>
      <c r="S19" s="13"/>
      <c r="T19" s="16">
        <f t="shared" si="0"/>
        <v>2</v>
      </c>
      <c r="U19" s="13" t="str">
        <f t="shared" si="1"/>
        <v>Atteint</v>
      </c>
      <c r="V19" s="13"/>
    </row>
    <row r="20" spans="1:22" ht="18" customHeight="1">
      <c r="A20" s="12" t="s">
        <v>22</v>
      </c>
      <c r="B20" s="13"/>
      <c r="C20" s="13"/>
      <c r="D20" s="14"/>
      <c r="E20" s="13"/>
      <c r="F20" s="13"/>
      <c r="G20" s="13"/>
      <c r="H20" s="13"/>
      <c r="I20" s="14"/>
      <c r="J20" s="13"/>
      <c r="K20" s="13"/>
      <c r="L20" s="13"/>
      <c r="M20" s="14"/>
      <c r="N20" s="13"/>
      <c r="O20" s="13"/>
      <c r="P20" s="13"/>
      <c r="Q20" s="14"/>
      <c r="R20" s="13">
        <v>1</v>
      </c>
      <c r="S20" s="13"/>
      <c r="T20" s="16">
        <f t="shared" si="0"/>
        <v>1</v>
      </c>
      <c r="U20" s="13" t="str">
        <f t="shared" si="1"/>
        <v>Sous objectif</v>
      </c>
      <c r="V20" s="13"/>
    </row>
    <row r="21" spans="1:22" ht="18" customHeight="1">
      <c r="A21" s="12" t="s">
        <v>23</v>
      </c>
      <c r="B21" s="13"/>
      <c r="C21" s="13"/>
      <c r="D21" s="14"/>
      <c r="E21" s="13">
        <v>1</v>
      </c>
      <c r="F21" s="13"/>
      <c r="G21" s="13"/>
      <c r="H21" s="13"/>
      <c r="I21" s="14"/>
      <c r="J21" s="13"/>
      <c r="K21" s="13"/>
      <c r="L21" s="13">
        <v>1</v>
      </c>
      <c r="M21" s="14">
        <v>1</v>
      </c>
      <c r="N21" s="13"/>
      <c r="O21" s="13">
        <v>1</v>
      </c>
      <c r="P21" s="13"/>
      <c r="Q21" s="14"/>
      <c r="R21" s="13">
        <v>1</v>
      </c>
      <c r="S21" s="13"/>
      <c r="T21" s="16">
        <f t="shared" si="0"/>
        <v>5</v>
      </c>
      <c r="U21" s="13" t="str">
        <f t="shared" si="1"/>
        <v>Atteint</v>
      </c>
      <c r="V21" s="13"/>
    </row>
    <row r="22" spans="1:22" ht="18" customHeight="1">
      <c r="A22" s="12" t="s">
        <v>110</v>
      </c>
      <c r="B22" s="13"/>
      <c r="C22" s="13"/>
      <c r="D22" s="14"/>
      <c r="E22" s="13"/>
      <c r="F22" s="13"/>
      <c r="G22" s="13"/>
      <c r="H22" s="13"/>
      <c r="I22" s="14"/>
      <c r="J22" s="13"/>
      <c r="K22" s="13"/>
      <c r="L22" s="13"/>
      <c r="M22" s="14"/>
      <c r="N22" s="13"/>
      <c r="O22" s="13"/>
      <c r="P22" s="13"/>
      <c r="Q22" s="14"/>
      <c r="R22" s="13"/>
      <c r="S22" s="13"/>
      <c r="T22" s="16">
        <f t="shared" si="0"/>
        <v>0</v>
      </c>
      <c r="U22" s="13" t="str">
        <f t="shared" si="1"/>
        <v>Sous objectif</v>
      </c>
      <c r="V22" s="13"/>
    </row>
    <row r="23" spans="1:22" ht="18" customHeight="1">
      <c r="A23" s="12" t="s">
        <v>24</v>
      </c>
      <c r="B23" s="13"/>
      <c r="C23" s="13"/>
      <c r="D23" s="14">
        <v>1</v>
      </c>
      <c r="E23" s="13"/>
      <c r="F23" s="13"/>
      <c r="G23" s="13"/>
      <c r="H23" s="13"/>
      <c r="I23" s="14"/>
      <c r="J23" s="13"/>
      <c r="K23" s="13"/>
      <c r="L23" s="13"/>
      <c r="M23" s="14"/>
      <c r="N23" s="13"/>
      <c r="O23" s="13"/>
      <c r="P23" s="13"/>
      <c r="Q23" s="14"/>
      <c r="R23" s="13">
        <v>1</v>
      </c>
      <c r="S23" s="13"/>
      <c r="T23" s="16">
        <f t="shared" si="0"/>
        <v>2</v>
      </c>
      <c r="U23" s="13" t="str">
        <f t="shared" si="1"/>
        <v>Atteint</v>
      </c>
      <c r="V23" s="13"/>
    </row>
    <row r="24" spans="1:22" ht="18" customHeight="1">
      <c r="A24" s="12" t="s">
        <v>25</v>
      </c>
      <c r="B24" s="13"/>
      <c r="C24" s="13"/>
      <c r="D24" s="14"/>
      <c r="E24" s="13"/>
      <c r="F24" s="13"/>
      <c r="G24" s="13"/>
      <c r="H24" s="13"/>
      <c r="I24" s="14"/>
      <c r="J24" s="13"/>
      <c r="K24" s="13"/>
      <c r="L24" s="13"/>
      <c r="M24" s="14"/>
      <c r="N24" s="13"/>
      <c r="O24" s="13"/>
      <c r="P24" s="13"/>
      <c r="Q24" s="14"/>
      <c r="R24" s="13">
        <v>1</v>
      </c>
      <c r="S24" s="13"/>
      <c r="T24" s="16">
        <f t="shared" si="0"/>
        <v>1</v>
      </c>
      <c r="U24" s="13" t="str">
        <f t="shared" si="1"/>
        <v>Sous objectif</v>
      </c>
      <c r="V24" s="13"/>
    </row>
    <row r="25" spans="1:22" ht="18" customHeight="1">
      <c r="A25" s="12" t="s">
        <v>26</v>
      </c>
      <c r="B25" s="13"/>
      <c r="C25" s="13"/>
      <c r="D25" s="14">
        <v>1</v>
      </c>
      <c r="E25" s="13"/>
      <c r="F25" s="13"/>
      <c r="G25" s="13"/>
      <c r="H25" s="13"/>
      <c r="I25" s="14"/>
      <c r="J25" s="13"/>
      <c r="K25" s="13"/>
      <c r="L25" s="13"/>
      <c r="M25" s="14">
        <v>1</v>
      </c>
      <c r="N25" s="13"/>
      <c r="O25" s="13"/>
      <c r="P25" s="13"/>
      <c r="Q25" s="14"/>
      <c r="R25" s="13">
        <v>1</v>
      </c>
      <c r="S25" s="13"/>
      <c r="T25" s="16">
        <f t="shared" si="0"/>
        <v>3</v>
      </c>
      <c r="U25" s="13" t="str">
        <f t="shared" si="1"/>
        <v>Atteint</v>
      </c>
      <c r="V25" s="13"/>
    </row>
    <row r="26" spans="1:22" ht="18" customHeight="1">
      <c r="A26" s="12" t="s">
        <v>111</v>
      </c>
      <c r="B26" s="13"/>
      <c r="C26" s="13"/>
      <c r="D26" s="14"/>
      <c r="E26" s="13"/>
      <c r="F26" s="13"/>
      <c r="G26" s="13"/>
      <c r="H26" s="13"/>
      <c r="I26" s="14"/>
      <c r="J26" s="13"/>
      <c r="K26" s="13"/>
      <c r="L26" s="13"/>
      <c r="M26" s="14"/>
      <c r="N26" s="13"/>
      <c r="O26" s="13"/>
      <c r="P26" s="13"/>
      <c r="Q26" s="14"/>
      <c r="R26" s="13"/>
      <c r="S26" s="13"/>
      <c r="T26" s="16">
        <f t="shared" si="0"/>
        <v>0</v>
      </c>
      <c r="U26" s="13" t="str">
        <f t="shared" si="1"/>
        <v>Sous objectif</v>
      </c>
      <c r="V26" s="13"/>
    </row>
    <row r="27" spans="1:22" ht="18" customHeight="1">
      <c r="A27" s="12" t="s">
        <v>27</v>
      </c>
      <c r="B27" s="13"/>
      <c r="C27" s="13"/>
      <c r="D27" s="14">
        <v>1</v>
      </c>
      <c r="E27" s="13"/>
      <c r="F27" s="13"/>
      <c r="G27" s="13"/>
      <c r="H27" s="13"/>
      <c r="I27" s="14"/>
      <c r="J27" s="13"/>
      <c r="K27" s="13"/>
      <c r="L27" s="13"/>
      <c r="M27" s="14"/>
      <c r="N27" s="13"/>
      <c r="O27" s="13"/>
      <c r="P27" s="13"/>
      <c r="Q27" s="14"/>
      <c r="R27" s="13">
        <v>1</v>
      </c>
      <c r="S27" s="13"/>
      <c r="T27" s="16">
        <f t="shared" si="0"/>
        <v>2</v>
      </c>
      <c r="U27" s="13" t="str">
        <f t="shared" si="1"/>
        <v>Atteint</v>
      </c>
      <c r="V27" s="13"/>
    </row>
    <row r="28" spans="1:22" ht="18" customHeight="1">
      <c r="A28" s="12" t="s">
        <v>28</v>
      </c>
      <c r="B28" s="13"/>
      <c r="C28" s="13"/>
      <c r="D28" s="14"/>
      <c r="E28" s="13"/>
      <c r="F28" s="13"/>
      <c r="G28" s="13"/>
      <c r="H28" s="13"/>
      <c r="I28" s="14"/>
      <c r="J28" s="13"/>
      <c r="K28" s="13"/>
      <c r="L28" s="13">
        <v>1</v>
      </c>
      <c r="M28" s="14"/>
      <c r="N28" s="13"/>
      <c r="O28" s="13"/>
      <c r="P28" s="13"/>
      <c r="Q28" s="14"/>
      <c r="R28" s="13"/>
      <c r="S28" s="13"/>
      <c r="T28" s="16">
        <f t="shared" si="0"/>
        <v>1</v>
      </c>
      <c r="U28" s="13" t="str">
        <f t="shared" si="1"/>
        <v>Sous objectif</v>
      </c>
      <c r="V28" s="13"/>
    </row>
    <row r="29" spans="1:22" ht="18" customHeight="1">
      <c r="A29" s="12" t="s">
        <v>29</v>
      </c>
      <c r="B29" s="13"/>
      <c r="C29" s="13"/>
      <c r="D29" s="14"/>
      <c r="E29" s="13"/>
      <c r="F29" s="13"/>
      <c r="G29" s="13"/>
      <c r="H29" s="13"/>
      <c r="I29" s="14"/>
      <c r="J29" s="13"/>
      <c r="K29" s="13"/>
      <c r="L29" s="13"/>
      <c r="M29" s="14"/>
      <c r="N29" s="13"/>
      <c r="O29" s="13"/>
      <c r="P29" s="13"/>
      <c r="Q29" s="14"/>
      <c r="R29" s="13">
        <v>1</v>
      </c>
      <c r="S29" s="13"/>
      <c r="T29" s="16">
        <f t="shared" si="0"/>
        <v>1</v>
      </c>
      <c r="U29" s="13" t="str">
        <f t="shared" si="1"/>
        <v>Sous objectif</v>
      </c>
      <c r="V29" s="13"/>
    </row>
    <row r="31" spans="1:22" ht="15.75" customHeight="1">
      <c r="A31" s="22" t="s">
        <v>30</v>
      </c>
    </row>
    <row r="32" spans="1:22" ht="15.75" customHeight="1">
      <c r="A32" s="23" t="s">
        <v>31</v>
      </c>
      <c r="B32" s="13"/>
      <c r="C32" s="13"/>
      <c r="D32" s="14"/>
      <c r="E32" s="13"/>
      <c r="F32" s="13"/>
      <c r="G32" s="13"/>
      <c r="H32" s="13"/>
      <c r="I32" s="14"/>
      <c r="J32" s="13"/>
      <c r="K32" s="13"/>
      <c r="L32" s="13"/>
      <c r="M32" s="14"/>
      <c r="N32" s="13"/>
      <c r="O32" s="13"/>
      <c r="P32" s="13"/>
      <c r="Q32" s="14"/>
      <c r="R32" s="13" t="s">
        <v>51</v>
      </c>
      <c r="S32" s="13"/>
      <c r="T32" s="13"/>
    </row>
    <row r="33" spans="1:20" ht="15.75" customHeight="1">
      <c r="A33" s="23" t="s">
        <v>32</v>
      </c>
      <c r="B33" s="13"/>
      <c r="C33" s="13"/>
      <c r="D33" s="14" t="s">
        <v>51</v>
      </c>
      <c r="E33" s="13"/>
      <c r="F33" s="13"/>
      <c r="G33" s="13"/>
      <c r="H33" s="13"/>
      <c r="I33" s="14"/>
      <c r="J33" s="13"/>
      <c r="K33" s="13"/>
      <c r="L33" s="13"/>
      <c r="M33" s="14"/>
      <c r="N33" s="13"/>
      <c r="O33" s="13"/>
      <c r="P33" s="13"/>
      <c r="Q33" s="14"/>
      <c r="R33" s="13"/>
      <c r="S33" s="13"/>
      <c r="T33" s="13"/>
    </row>
    <row r="34" spans="1:20" ht="15.75" customHeight="1">
      <c r="A34" s="23" t="s">
        <v>33</v>
      </c>
      <c r="B34" s="13"/>
      <c r="C34" s="13"/>
      <c r="D34" s="14"/>
      <c r="E34" s="13"/>
      <c r="F34" s="13"/>
      <c r="G34" s="13"/>
      <c r="H34" s="13"/>
      <c r="I34" s="14"/>
      <c r="J34" s="13"/>
      <c r="K34" s="13"/>
      <c r="L34" s="13"/>
      <c r="M34" s="14"/>
      <c r="N34" s="13"/>
      <c r="O34" s="13"/>
      <c r="P34" s="13"/>
      <c r="Q34" s="14"/>
      <c r="R34" s="13"/>
      <c r="S34" s="13"/>
      <c r="T34" s="13"/>
    </row>
  </sheetData>
  <mergeCells count="1">
    <mergeCell ref="A1:U1"/>
  </mergeCells>
  <conditionalFormatting sqref="B4:S29">
    <cfRule type="cellIs" dxfId="18" priority="2" operator="equal">
      <formula>1</formula>
    </cfRule>
    <cfRule type="cellIs" dxfId="17" priority="3" operator="equal">
      <formula>"IC"</formula>
    </cfRule>
    <cfRule type="cellIs" dxfId="16" priority="4" operator="equal">
      <formula>"M"</formula>
    </cfRule>
  </conditionalFormatting>
  <conditionalFormatting sqref="B32:S34">
    <cfRule type="cellIs" dxfId="15" priority="5" operator="equal">
      <formula>"X"</formula>
    </cfRule>
  </conditionalFormatting>
  <dataValidations count="2">
    <dataValidation type="list" allowBlank="1" sqref="B4:S29" xr:uid="{00000000-0002-0000-0600-000000000000}">
      <formula1>"1,IC,M"</formula1>
      <formula2>0</formula2>
    </dataValidation>
    <dataValidation type="list" allowBlank="1" sqref="B32:S34" xr:uid="{00000000-0002-0000-0600-000001000000}">
      <formula1>"X"</formula1>
      <formula2>0</formula2>
    </dataValidation>
  </dataValidation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35"/>
  <sheetViews>
    <sheetView zoomScaleNormal="100" workbookViewId="0">
      <pane xSplit="1" ySplit="3" topLeftCell="B4" activePane="bottomRight" state="frozen"/>
      <selection pane="topRight" activeCell="B1" sqref="B1"/>
      <selection pane="bottomLeft" activeCell="A4" sqref="A4"/>
      <selection pane="bottomRight"/>
    </sheetView>
  </sheetViews>
  <sheetFormatPr baseColWidth="10" defaultColWidth="8.83203125" defaultRowHeight="15"/>
  <cols>
    <col min="1" max="1" width="26" customWidth="1"/>
    <col min="2" max="24" width="8" customWidth="1"/>
    <col min="25" max="25" width="18" customWidth="1"/>
  </cols>
  <sheetData>
    <row r="1" spans="1:25" ht="21.75" customHeight="1">
      <c r="A1" s="41" t="s">
        <v>135</v>
      </c>
      <c r="B1" s="40"/>
      <c r="C1" s="40"/>
      <c r="D1" s="40"/>
      <c r="E1" s="40"/>
      <c r="F1" s="40"/>
      <c r="G1" s="40"/>
      <c r="H1" s="40"/>
      <c r="I1" s="40"/>
      <c r="J1" s="40"/>
      <c r="K1" s="40"/>
      <c r="L1" s="40"/>
      <c r="M1" s="40"/>
      <c r="N1" s="40"/>
      <c r="O1" s="40"/>
      <c r="P1" s="40"/>
      <c r="Q1" s="40"/>
      <c r="R1" s="40"/>
      <c r="S1" s="40"/>
      <c r="T1" s="40"/>
      <c r="U1" s="40"/>
      <c r="V1" s="40"/>
      <c r="W1" s="40"/>
      <c r="X1" s="40"/>
      <c r="Y1" s="40"/>
    </row>
    <row r="3" spans="1:25" ht="21.75" customHeight="1">
      <c r="A3" s="7" t="s">
        <v>1</v>
      </c>
      <c r="B3" s="8">
        <v>46174</v>
      </c>
      <c r="C3" s="8">
        <v>46175</v>
      </c>
      <c r="D3" s="8">
        <v>46176</v>
      </c>
      <c r="E3" s="8">
        <v>46177</v>
      </c>
      <c r="F3" s="8">
        <v>46178</v>
      </c>
      <c r="G3" s="8">
        <v>46181</v>
      </c>
      <c r="H3" s="8">
        <v>46182</v>
      </c>
      <c r="I3" s="8">
        <v>46183</v>
      </c>
      <c r="J3" s="8">
        <v>46184</v>
      </c>
      <c r="K3" s="8">
        <v>46185</v>
      </c>
      <c r="L3" s="8">
        <v>46188</v>
      </c>
      <c r="M3" s="8">
        <v>46189</v>
      </c>
      <c r="N3" s="8">
        <v>46190</v>
      </c>
      <c r="O3" s="8">
        <v>46191</v>
      </c>
      <c r="P3" s="8">
        <v>46192</v>
      </c>
      <c r="Q3" s="8">
        <v>46195</v>
      </c>
      <c r="R3" s="8">
        <v>46196</v>
      </c>
      <c r="S3" s="8">
        <v>46197</v>
      </c>
      <c r="T3" s="8">
        <v>46198</v>
      </c>
      <c r="U3" s="8">
        <v>46199</v>
      </c>
      <c r="V3" s="8">
        <v>46202</v>
      </c>
      <c r="W3" s="8">
        <v>46203</v>
      </c>
      <c r="X3" s="10" t="s">
        <v>2</v>
      </c>
      <c r="Y3" s="11" t="s">
        <v>3</v>
      </c>
    </row>
    <row r="4" spans="1:25" ht="18" customHeight="1">
      <c r="A4" s="12" t="s">
        <v>4</v>
      </c>
      <c r="B4" s="13"/>
      <c r="C4" s="13"/>
      <c r="D4" s="13"/>
      <c r="E4" s="14"/>
      <c r="F4" s="13"/>
      <c r="G4" s="13"/>
      <c r="H4" s="13">
        <v>1</v>
      </c>
      <c r="I4" s="13"/>
      <c r="J4" s="14"/>
      <c r="K4" s="13"/>
      <c r="L4" s="13"/>
      <c r="M4" s="13"/>
      <c r="N4" s="13"/>
      <c r="O4" s="14"/>
      <c r="P4" s="13">
        <v>1</v>
      </c>
      <c r="Q4" s="13"/>
      <c r="R4" s="13"/>
      <c r="S4" s="13"/>
      <c r="T4" s="14"/>
      <c r="U4" s="13"/>
      <c r="V4" s="13"/>
      <c r="W4" s="13"/>
      <c r="X4" s="16">
        <f t="shared" ref="X4:X30" si="0">COUNTIF(B4:W4,1)+COUNTIF(B4:W4,"IC")</f>
        <v>2</v>
      </c>
      <c r="Y4" s="13" t="str">
        <f t="shared" ref="Y4:Y30" si="1">IF(COUNTIF(B4:W4,"M")&gt;0,"N/A absence longue",IF(X4&gt;=2,"Atteint","Sous objectif"))</f>
        <v>Atteint</v>
      </c>
    </row>
    <row r="5" spans="1:25" ht="18" customHeight="1">
      <c r="A5" s="12" t="s">
        <v>5</v>
      </c>
      <c r="B5" s="13" t="s">
        <v>6</v>
      </c>
      <c r="C5" s="13" t="s">
        <v>6</v>
      </c>
      <c r="D5" s="13"/>
      <c r="E5" s="14" t="s">
        <v>6</v>
      </c>
      <c r="F5" s="13"/>
      <c r="G5" s="13" t="s">
        <v>6</v>
      </c>
      <c r="H5" s="13" t="s">
        <v>6</v>
      </c>
      <c r="I5" s="13"/>
      <c r="J5" s="14" t="s">
        <v>6</v>
      </c>
      <c r="K5" s="13"/>
      <c r="L5" s="13" t="s">
        <v>6</v>
      </c>
      <c r="M5" s="13"/>
      <c r="N5" s="13"/>
      <c r="O5" s="14" t="s">
        <v>6</v>
      </c>
      <c r="P5" s="13" t="s">
        <v>6</v>
      </c>
      <c r="Q5" s="13"/>
      <c r="R5" s="13"/>
      <c r="S5" s="13"/>
      <c r="T5" s="14"/>
      <c r="U5" s="13"/>
      <c r="V5" s="13"/>
      <c r="W5" s="13"/>
      <c r="X5" s="16">
        <f t="shared" si="0"/>
        <v>9</v>
      </c>
      <c r="Y5" s="13" t="str">
        <f t="shared" si="1"/>
        <v>Atteint</v>
      </c>
    </row>
    <row r="6" spans="1:25" ht="18" customHeight="1">
      <c r="A6" s="12" t="s">
        <v>7</v>
      </c>
      <c r="B6" s="13"/>
      <c r="C6" s="13"/>
      <c r="D6" s="13"/>
      <c r="E6" s="14"/>
      <c r="F6" s="13"/>
      <c r="G6" s="13"/>
      <c r="H6" s="13"/>
      <c r="I6" s="13"/>
      <c r="J6" s="14"/>
      <c r="K6" s="13"/>
      <c r="L6" s="13"/>
      <c r="M6" s="13"/>
      <c r="N6" s="13"/>
      <c r="O6" s="14"/>
      <c r="P6" s="13"/>
      <c r="Q6" s="13">
        <v>1</v>
      </c>
      <c r="R6" s="13"/>
      <c r="S6" s="13"/>
      <c r="T6" s="14"/>
      <c r="U6" s="13"/>
      <c r="V6" s="13"/>
      <c r="W6" s="13"/>
      <c r="X6" s="16">
        <f t="shared" si="0"/>
        <v>1</v>
      </c>
      <c r="Y6" s="13" t="str">
        <f t="shared" si="1"/>
        <v>Sous objectif</v>
      </c>
    </row>
    <row r="7" spans="1:25" ht="18" customHeight="1">
      <c r="A7" s="12" t="s">
        <v>8</v>
      </c>
      <c r="B7" s="13"/>
      <c r="C7" s="13"/>
      <c r="D7" s="13">
        <v>1</v>
      </c>
      <c r="E7" s="14"/>
      <c r="F7" s="13"/>
      <c r="G7" s="13"/>
      <c r="H7" s="13">
        <v>1</v>
      </c>
      <c r="I7" s="13"/>
      <c r="J7" s="14">
        <v>1</v>
      </c>
      <c r="K7" s="13"/>
      <c r="L7" s="13"/>
      <c r="M7" s="13">
        <v>1</v>
      </c>
      <c r="N7" s="13"/>
      <c r="O7" s="14">
        <v>1</v>
      </c>
      <c r="P7" s="13">
        <v>1</v>
      </c>
      <c r="Q7" s="13"/>
      <c r="R7" s="13">
        <v>1</v>
      </c>
      <c r="S7" s="13"/>
      <c r="T7" s="14"/>
      <c r="U7" s="13"/>
      <c r="V7" s="13"/>
      <c r="W7" s="13"/>
      <c r="X7" s="16">
        <f t="shared" si="0"/>
        <v>7</v>
      </c>
      <c r="Y7" s="13" t="str">
        <f t="shared" si="1"/>
        <v>Atteint</v>
      </c>
    </row>
    <row r="8" spans="1:25" ht="18" customHeight="1">
      <c r="A8" s="12" t="s">
        <v>9</v>
      </c>
      <c r="B8" s="13" t="s">
        <v>6</v>
      </c>
      <c r="C8" s="13" t="s">
        <v>6</v>
      </c>
      <c r="D8" s="13" t="s">
        <v>6</v>
      </c>
      <c r="E8" s="14" t="s">
        <v>6</v>
      </c>
      <c r="F8" s="13"/>
      <c r="G8" s="13" t="s">
        <v>6</v>
      </c>
      <c r="H8" s="13" t="s">
        <v>6</v>
      </c>
      <c r="I8" s="13"/>
      <c r="J8" s="14" t="s">
        <v>6</v>
      </c>
      <c r="K8" s="13"/>
      <c r="L8" s="13" t="s">
        <v>6</v>
      </c>
      <c r="M8" s="13" t="s">
        <v>6</v>
      </c>
      <c r="N8" s="13" t="s">
        <v>6</v>
      </c>
      <c r="O8" s="14" t="s">
        <v>6</v>
      </c>
      <c r="P8" s="13" t="s">
        <v>6</v>
      </c>
      <c r="Q8" s="13" t="s">
        <v>6</v>
      </c>
      <c r="R8" s="13" t="s">
        <v>6</v>
      </c>
      <c r="S8" s="13"/>
      <c r="T8" s="14" t="s">
        <v>6</v>
      </c>
      <c r="U8" s="13"/>
      <c r="V8" s="13" t="s">
        <v>6</v>
      </c>
      <c r="W8" s="13" t="s">
        <v>6</v>
      </c>
      <c r="X8" s="16">
        <f t="shared" si="0"/>
        <v>17</v>
      </c>
      <c r="Y8" s="13" t="str">
        <f t="shared" si="1"/>
        <v>Atteint</v>
      </c>
    </row>
    <row r="9" spans="1:25" ht="18" customHeight="1">
      <c r="A9" s="12" t="s">
        <v>10</v>
      </c>
      <c r="B9" s="13"/>
      <c r="C9" s="13"/>
      <c r="D9" s="13"/>
      <c r="E9" s="14">
        <v>1</v>
      </c>
      <c r="F9" s="13"/>
      <c r="G9" s="13"/>
      <c r="H9" s="13"/>
      <c r="I9" s="13"/>
      <c r="J9" s="14"/>
      <c r="K9" s="13"/>
      <c r="L9" s="13"/>
      <c r="M9" s="13"/>
      <c r="N9" s="13"/>
      <c r="O9" s="14"/>
      <c r="P9" s="13"/>
      <c r="Q9" s="13"/>
      <c r="R9" s="13"/>
      <c r="S9" s="13"/>
      <c r="T9" s="14">
        <v>1</v>
      </c>
      <c r="U9" s="13"/>
      <c r="V9" s="13"/>
      <c r="W9" s="13"/>
      <c r="X9" s="16">
        <f t="shared" si="0"/>
        <v>2</v>
      </c>
      <c r="Y9" s="13" t="str">
        <f t="shared" si="1"/>
        <v>Atteint</v>
      </c>
    </row>
    <row r="10" spans="1:25" ht="18" customHeight="1">
      <c r="A10" s="12" t="s">
        <v>11</v>
      </c>
      <c r="B10" s="13">
        <v>1</v>
      </c>
      <c r="C10" s="13"/>
      <c r="D10" s="13"/>
      <c r="E10" s="14"/>
      <c r="F10" s="13"/>
      <c r="G10" s="13"/>
      <c r="H10" s="13"/>
      <c r="I10" s="13"/>
      <c r="J10" s="14"/>
      <c r="K10" s="13"/>
      <c r="L10" s="13"/>
      <c r="M10" s="13"/>
      <c r="N10" s="13"/>
      <c r="O10" s="14"/>
      <c r="P10" s="13">
        <v>1</v>
      </c>
      <c r="Q10" s="13"/>
      <c r="R10" s="13"/>
      <c r="S10" s="13">
        <v>1</v>
      </c>
      <c r="T10" s="14"/>
      <c r="U10" s="13"/>
      <c r="V10" s="13"/>
      <c r="W10" s="13"/>
      <c r="X10" s="16">
        <f t="shared" si="0"/>
        <v>3</v>
      </c>
      <c r="Y10" s="13" t="str">
        <f t="shared" si="1"/>
        <v>Atteint</v>
      </c>
    </row>
    <row r="11" spans="1:25" ht="18" customHeight="1">
      <c r="A11" s="12" t="s">
        <v>12</v>
      </c>
      <c r="B11" s="13"/>
      <c r="C11" s="13"/>
      <c r="D11" s="13"/>
      <c r="E11" s="14">
        <v>1</v>
      </c>
      <c r="F11" s="13"/>
      <c r="G11" s="13"/>
      <c r="H11" s="13">
        <v>1</v>
      </c>
      <c r="I11" s="13"/>
      <c r="J11" s="14">
        <v>1</v>
      </c>
      <c r="K11" s="13"/>
      <c r="L11" s="13"/>
      <c r="M11" s="13">
        <v>1</v>
      </c>
      <c r="N11" s="13"/>
      <c r="O11" s="14"/>
      <c r="P11" s="13">
        <v>1</v>
      </c>
      <c r="Q11" s="13"/>
      <c r="R11" s="13">
        <v>1</v>
      </c>
      <c r="S11" s="13"/>
      <c r="T11" s="14">
        <v>1</v>
      </c>
      <c r="U11" s="13"/>
      <c r="V11" s="13"/>
      <c r="W11" s="13">
        <v>1</v>
      </c>
      <c r="X11" s="16">
        <f t="shared" si="0"/>
        <v>8</v>
      </c>
      <c r="Y11" s="13" t="str">
        <f t="shared" si="1"/>
        <v>Atteint</v>
      </c>
    </row>
    <row r="12" spans="1:25" ht="18" customHeight="1">
      <c r="A12" s="12" t="s">
        <v>13</v>
      </c>
      <c r="B12" s="13"/>
      <c r="C12" s="13"/>
      <c r="D12" s="13"/>
      <c r="E12" s="14"/>
      <c r="F12" s="13"/>
      <c r="G12" s="13"/>
      <c r="H12" s="13"/>
      <c r="I12" s="13"/>
      <c r="J12" s="14"/>
      <c r="K12" s="13"/>
      <c r="L12" s="13"/>
      <c r="M12" s="13"/>
      <c r="N12" s="13"/>
      <c r="O12" s="14"/>
      <c r="P12" s="13">
        <v>1</v>
      </c>
      <c r="Q12" s="13"/>
      <c r="R12" s="13"/>
      <c r="S12" s="13"/>
      <c r="T12" s="14"/>
      <c r="U12" s="13"/>
      <c r="V12" s="13"/>
      <c r="W12" s="13">
        <v>1</v>
      </c>
      <c r="X12" s="16">
        <f t="shared" si="0"/>
        <v>2</v>
      </c>
      <c r="Y12" s="13" t="str">
        <f t="shared" si="1"/>
        <v>Atteint</v>
      </c>
    </row>
    <row r="13" spans="1:25" ht="18" customHeight="1">
      <c r="A13" s="12" t="s">
        <v>14</v>
      </c>
      <c r="B13" s="13"/>
      <c r="C13" s="13"/>
      <c r="D13" s="13"/>
      <c r="E13" s="14">
        <v>1</v>
      </c>
      <c r="F13" s="13"/>
      <c r="G13" s="13"/>
      <c r="H13" s="13"/>
      <c r="I13" s="13"/>
      <c r="J13" s="14"/>
      <c r="K13" s="13"/>
      <c r="L13" s="13"/>
      <c r="M13" s="13"/>
      <c r="N13" s="13"/>
      <c r="O13" s="14"/>
      <c r="P13" s="13">
        <v>1</v>
      </c>
      <c r="Q13" s="13"/>
      <c r="R13" s="13"/>
      <c r="S13" s="13"/>
      <c r="T13" s="14"/>
      <c r="U13" s="13"/>
      <c r="V13" s="13"/>
      <c r="W13" s="13"/>
      <c r="X13" s="16">
        <f t="shared" si="0"/>
        <v>2</v>
      </c>
      <c r="Y13" s="13" t="str">
        <f t="shared" si="1"/>
        <v>Atteint</v>
      </c>
    </row>
    <row r="14" spans="1:25" ht="18" customHeight="1">
      <c r="A14" s="12" t="s">
        <v>15</v>
      </c>
      <c r="B14" s="13"/>
      <c r="C14" s="13"/>
      <c r="D14" s="13"/>
      <c r="E14" s="14"/>
      <c r="F14" s="13"/>
      <c r="G14" s="13">
        <v>1</v>
      </c>
      <c r="H14" s="13"/>
      <c r="I14" s="13"/>
      <c r="J14" s="14"/>
      <c r="K14" s="13"/>
      <c r="L14" s="13"/>
      <c r="M14" s="13"/>
      <c r="N14" s="13"/>
      <c r="O14" s="14"/>
      <c r="P14" s="13">
        <v>1</v>
      </c>
      <c r="Q14" s="13"/>
      <c r="R14" s="13"/>
      <c r="S14" s="13"/>
      <c r="T14" s="14"/>
      <c r="U14" s="13"/>
      <c r="V14" s="13"/>
      <c r="W14" s="13"/>
      <c r="X14" s="16">
        <f t="shared" si="0"/>
        <v>2</v>
      </c>
      <c r="Y14" s="13" t="str">
        <f t="shared" si="1"/>
        <v>Atteint</v>
      </c>
    </row>
    <row r="15" spans="1:25" ht="18" customHeight="1">
      <c r="A15" s="12" t="s">
        <v>16</v>
      </c>
      <c r="B15" s="13"/>
      <c r="C15" s="13"/>
      <c r="D15" s="13">
        <v>1</v>
      </c>
      <c r="E15" s="14"/>
      <c r="F15" s="13"/>
      <c r="G15" s="13"/>
      <c r="H15" s="13">
        <v>1</v>
      </c>
      <c r="I15" s="13"/>
      <c r="J15" s="14"/>
      <c r="K15" s="13"/>
      <c r="L15" s="13"/>
      <c r="M15" s="13"/>
      <c r="N15" s="13"/>
      <c r="O15" s="14"/>
      <c r="P15" s="13"/>
      <c r="Q15" s="13"/>
      <c r="R15" s="13"/>
      <c r="S15" s="13"/>
      <c r="T15" s="14"/>
      <c r="U15" s="13"/>
      <c r="V15" s="13"/>
      <c r="W15" s="13">
        <v>1</v>
      </c>
      <c r="X15" s="16">
        <f t="shared" si="0"/>
        <v>3</v>
      </c>
      <c r="Y15" s="13" t="str">
        <f t="shared" si="1"/>
        <v>Atteint</v>
      </c>
    </row>
    <row r="16" spans="1:25" ht="18" customHeight="1">
      <c r="A16" s="12" t="s">
        <v>17</v>
      </c>
      <c r="B16" s="13"/>
      <c r="C16" s="13">
        <v>1</v>
      </c>
      <c r="D16" s="13"/>
      <c r="E16" s="14"/>
      <c r="F16" s="13"/>
      <c r="G16" s="13"/>
      <c r="H16" s="13">
        <v>1</v>
      </c>
      <c r="I16" s="13"/>
      <c r="J16" s="14"/>
      <c r="K16" s="13"/>
      <c r="L16" s="13"/>
      <c r="M16" s="13"/>
      <c r="N16" s="13"/>
      <c r="O16" s="14"/>
      <c r="P16" s="13">
        <v>1</v>
      </c>
      <c r="Q16" s="13"/>
      <c r="R16" s="13">
        <v>1</v>
      </c>
      <c r="S16" s="13"/>
      <c r="T16" s="14">
        <v>1</v>
      </c>
      <c r="U16" s="13"/>
      <c r="V16" s="13"/>
      <c r="W16" s="13">
        <v>1</v>
      </c>
      <c r="X16" s="16">
        <f t="shared" si="0"/>
        <v>6</v>
      </c>
      <c r="Y16" s="13" t="str">
        <f t="shared" si="1"/>
        <v>Atteint</v>
      </c>
    </row>
    <row r="17" spans="1:25" ht="18" customHeight="1">
      <c r="A17" s="12" t="s">
        <v>18</v>
      </c>
      <c r="B17" s="13"/>
      <c r="C17" s="13"/>
      <c r="D17" s="13"/>
      <c r="E17" s="14"/>
      <c r="F17" s="13"/>
      <c r="G17" s="13"/>
      <c r="H17" s="13"/>
      <c r="I17" s="13"/>
      <c r="J17" s="14"/>
      <c r="K17" s="13"/>
      <c r="L17" s="13"/>
      <c r="M17" s="13"/>
      <c r="N17" s="13"/>
      <c r="O17" s="14"/>
      <c r="P17" s="13"/>
      <c r="Q17" s="13"/>
      <c r="R17" s="13">
        <v>1</v>
      </c>
      <c r="S17" s="13"/>
      <c r="T17" s="14"/>
      <c r="U17" s="13"/>
      <c r="V17" s="13"/>
      <c r="W17" s="13">
        <v>1</v>
      </c>
      <c r="X17" s="16">
        <f t="shared" si="0"/>
        <v>2</v>
      </c>
      <c r="Y17" s="13" t="str">
        <f t="shared" si="1"/>
        <v>Atteint</v>
      </c>
    </row>
    <row r="18" spans="1:25" ht="18" customHeight="1">
      <c r="A18" s="12" t="s">
        <v>19</v>
      </c>
      <c r="B18" s="13"/>
      <c r="C18" s="13" t="s">
        <v>6</v>
      </c>
      <c r="D18" s="13"/>
      <c r="E18" s="14" t="s">
        <v>6</v>
      </c>
      <c r="F18" s="13"/>
      <c r="G18" s="13" t="s">
        <v>6</v>
      </c>
      <c r="H18" s="13" t="s">
        <v>6</v>
      </c>
      <c r="I18" s="13"/>
      <c r="J18" s="14" t="s">
        <v>6</v>
      </c>
      <c r="K18" s="13"/>
      <c r="L18" s="13" t="s">
        <v>6</v>
      </c>
      <c r="M18" s="13"/>
      <c r="N18" s="13"/>
      <c r="O18" s="14" t="s">
        <v>6</v>
      </c>
      <c r="P18" s="13" t="s">
        <v>6</v>
      </c>
      <c r="Q18" s="13" t="s">
        <v>6</v>
      </c>
      <c r="R18" s="13" t="s">
        <v>6</v>
      </c>
      <c r="S18" s="13"/>
      <c r="T18" s="14" t="s">
        <v>6</v>
      </c>
      <c r="U18" s="13"/>
      <c r="V18" s="13" t="s">
        <v>6</v>
      </c>
      <c r="W18" s="13" t="s">
        <v>6</v>
      </c>
      <c r="X18" s="16">
        <f t="shared" si="0"/>
        <v>13</v>
      </c>
      <c r="Y18" s="13" t="str">
        <f t="shared" si="1"/>
        <v>Atteint</v>
      </c>
    </row>
    <row r="19" spans="1:25" ht="18" customHeight="1">
      <c r="A19" s="12" t="s">
        <v>20</v>
      </c>
      <c r="B19" s="13"/>
      <c r="C19" s="13"/>
      <c r="D19" s="13"/>
      <c r="E19" s="14"/>
      <c r="F19" s="13"/>
      <c r="G19" s="13"/>
      <c r="H19" s="13"/>
      <c r="I19" s="13"/>
      <c r="J19" s="14"/>
      <c r="K19" s="13"/>
      <c r="L19" s="13"/>
      <c r="M19" s="13"/>
      <c r="N19" s="13"/>
      <c r="O19" s="14"/>
      <c r="P19" s="13">
        <v>1</v>
      </c>
      <c r="Q19" s="13"/>
      <c r="R19" s="13">
        <v>1</v>
      </c>
      <c r="S19" s="13"/>
      <c r="T19" s="14"/>
      <c r="U19" s="13"/>
      <c r="V19" s="13"/>
      <c r="W19" s="13">
        <v>1</v>
      </c>
      <c r="X19" s="16">
        <f t="shared" si="0"/>
        <v>3</v>
      </c>
      <c r="Y19" s="13" t="str">
        <f t="shared" si="1"/>
        <v>Atteint</v>
      </c>
    </row>
    <row r="20" spans="1:25" ht="18" customHeight="1">
      <c r="A20" s="12" t="s">
        <v>21</v>
      </c>
      <c r="B20" s="13"/>
      <c r="C20" s="13"/>
      <c r="D20" s="13"/>
      <c r="E20" s="14"/>
      <c r="F20" s="13"/>
      <c r="G20" s="13"/>
      <c r="H20" s="13"/>
      <c r="I20" s="13"/>
      <c r="J20" s="14"/>
      <c r="K20" s="13"/>
      <c r="L20" s="13"/>
      <c r="M20" s="13"/>
      <c r="N20" s="13"/>
      <c r="O20" s="14"/>
      <c r="P20" s="13">
        <v>1</v>
      </c>
      <c r="Q20" s="13"/>
      <c r="R20" s="13"/>
      <c r="S20" s="13"/>
      <c r="T20" s="14"/>
      <c r="U20" s="13"/>
      <c r="V20" s="13"/>
      <c r="W20" s="13"/>
      <c r="X20" s="16">
        <f t="shared" si="0"/>
        <v>1</v>
      </c>
      <c r="Y20" s="13" t="str">
        <f t="shared" si="1"/>
        <v>Sous objectif</v>
      </c>
    </row>
    <row r="21" spans="1:25" ht="18" customHeight="1">
      <c r="A21" s="12" t="s">
        <v>22</v>
      </c>
      <c r="B21" s="13">
        <v>1</v>
      </c>
      <c r="C21" s="13"/>
      <c r="D21" s="13"/>
      <c r="E21" s="14"/>
      <c r="F21" s="13"/>
      <c r="G21" s="13">
        <v>1</v>
      </c>
      <c r="H21" s="13"/>
      <c r="I21" s="13"/>
      <c r="J21" s="14"/>
      <c r="K21" s="13"/>
      <c r="L21" s="13"/>
      <c r="M21" s="13"/>
      <c r="N21" s="13">
        <v>1</v>
      </c>
      <c r="O21" s="14"/>
      <c r="P21" s="13">
        <v>1</v>
      </c>
      <c r="Q21" s="13"/>
      <c r="R21" s="13"/>
      <c r="S21" s="13"/>
      <c r="T21" s="14"/>
      <c r="U21" s="13"/>
      <c r="V21" s="13"/>
      <c r="W21" s="13"/>
      <c r="X21" s="16">
        <f t="shared" si="0"/>
        <v>4</v>
      </c>
      <c r="Y21" s="13" t="str">
        <f t="shared" si="1"/>
        <v>Atteint</v>
      </c>
    </row>
    <row r="22" spans="1:25" ht="18" customHeight="1">
      <c r="A22" s="12" t="s">
        <v>23</v>
      </c>
      <c r="B22" s="13"/>
      <c r="C22" s="13"/>
      <c r="D22" s="13"/>
      <c r="E22" s="14">
        <v>1</v>
      </c>
      <c r="F22" s="13">
        <v>1</v>
      </c>
      <c r="G22" s="13"/>
      <c r="H22" s="13">
        <v>1</v>
      </c>
      <c r="I22" s="13"/>
      <c r="J22" s="14"/>
      <c r="K22" s="13"/>
      <c r="L22" s="13"/>
      <c r="M22" s="13">
        <v>1</v>
      </c>
      <c r="N22" s="13"/>
      <c r="O22" s="14" t="s">
        <v>136</v>
      </c>
      <c r="P22" s="13">
        <v>1</v>
      </c>
      <c r="Q22" s="13">
        <v>1</v>
      </c>
      <c r="R22" s="13">
        <v>1</v>
      </c>
      <c r="S22" s="13"/>
      <c r="T22" s="14">
        <v>1</v>
      </c>
      <c r="U22" s="13">
        <v>1</v>
      </c>
      <c r="V22" s="13"/>
      <c r="W22" s="13">
        <v>1</v>
      </c>
      <c r="X22" s="16">
        <f t="shared" si="0"/>
        <v>10</v>
      </c>
      <c r="Y22" s="13" t="str">
        <f t="shared" si="1"/>
        <v>Atteint</v>
      </c>
    </row>
    <row r="23" spans="1:25" ht="18" customHeight="1">
      <c r="A23" s="12" t="s">
        <v>110</v>
      </c>
      <c r="B23" s="13"/>
      <c r="C23" s="13"/>
      <c r="D23" s="13"/>
      <c r="E23" s="14">
        <v>1</v>
      </c>
      <c r="F23" s="13"/>
      <c r="G23" s="13"/>
      <c r="H23" s="13"/>
      <c r="I23" s="13"/>
      <c r="J23" s="14"/>
      <c r="K23" s="13"/>
      <c r="L23" s="13"/>
      <c r="M23" s="13"/>
      <c r="N23" s="13"/>
      <c r="O23" s="14"/>
      <c r="P23" s="13"/>
      <c r="Q23" s="13"/>
      <c r="R23" s="13"/>
      <c r="S23" s="13"/>
      <c r="T23" s="14"/>
      <c r="U23" s="13"/>
      <c r="V23" s="13"/>
      <c r="W23" s="13"/>
      <c r="X23" s="16">
        <f t="shared" si="0"/>
        <v>1</v>
      </c>
      <c r="Y23" s="13" t="str">
        <f t="shared" si="1"/>
        <v>Sous objectif</v>
      </c>
    </row>
    <row r="24" spans="1:25" ht="18" customHeight="1">
      <c r="A24" s="12" t="s">
        <v>24</v>
      </c>
      <c r="B24" s="13"/>
      <c r="C24" s="13"/>
      <c r="D24" s="13"/>
      <c r="E24" s="14"/>
      <c r="F24" s="13"/>
      <c r="G24" s="13"/>
      <c r="H24" s="13"/>
      <c r="I24" s="13"/>
      <c r="J24" s="14"/>
      <c r="K24" s="13"/>
      <c r="L24" s="13"/>
      <c r="M24" s="13"/>
      <c r="N24" s="13"/>
      <c r="O24" s="14"/>
      <c r="P24" s="13">
        <v>1</v>
      </c>
      <c r="Q24" s="13"/>
      <c r="R24" s="13"/>
      <c r="S24" s="13"/>
      <c r="T24" s="14"/>
      <c r="U24" s="13"/>
      <c r="V24" s="13">
        <v>1</v>
      </c>
      <c r="W24" s="13"/>
      <c r="X24" s="16">
        <f t="shared" si="0"/>
        <v>2</v>
      </c>
      <c r="Y24" s="13" t="str">
        <f t="shared" si="1"/>
        <v>Atteint</v>
      </c>
    </row>
    <row r="25" spans="1:25" ht="18" customHeight="1">
      <c r="A25" s="12" t="s">
        <v>25</v>
      </c>
      <c r="B25" s="13"/>
      <c r="C25" s="13"/>
      <c r="D25" s="13"/>
      <c r="E25" s="14"/>
      <c r="F25" s="13"/>
      <c r="G25" s="13"/>
      <c r="H25" s="13"/>
      <c r="I25" s="13"/>
      <c r="J25" s="14"/>
      <c r="K25" s="13"/>
      <c r="L25" s="13"/>
      <c r="M25" s="13"/>
      <c r="N25" s="13"/>
      <c r="O25" s="14"/>
      <c r="P25" s="13"/>
      <c r="Q25" s="13"/>
      <c r="R25" s="13"/>
      <c r="S25" s="13"/>
      <c r="T25" s="14"/>
      <c r="U25" s="13"/>
      <c r="V25" s="13"/>
      <c r="W25" s="13"/>
      <c r="X25" s="16">
        <f t="shared" si="0"/>
        <v>0</v>
      </c>
      <c r="Y25" s="13" t="str">
        <f t="shared" si="1"/>
        <v>Sous objectif</v>
      </c>
    </row>
    <row r="26" spans="1:25" ht="18" customHeight="1">
      <c r="A26" s="12" t="s">
        <v>26</v>
      </c>
      <c r="B26" s="13"/>
      <c r="C26" s="13"/>
      <c r="D26" s="13"/>
      <c r="E26" s="14"/>
      <c r="F26" s="13"/>
      <c r="G26" s="13"/>
      <c r="H26" s="13"/>
      <c r="I26" s="13"/>
      <c r="J26" s="14"/>
      <c r="K26" s="13"/>
      <c r="L26" s="13"/>
      <c r="M26" s="13"/>
      <c r="N26" s="13"/>
      <c r="O26" s="14"/>
      <c r="P26" s="13">
        <v>1</v>
      </c>
      <c r="Q26" s="13"/>
      <c r="R26" s="13"/>
      <c r="S26" s="13"/>
      <c r="T26" s="14"/>
      <c r="U26" s="13"/>
      <c r="V26" s="13"/>
      <c r="W26" s="13"/>
      <c r="X26" s="16">
        <f t="shared" si="0"/>
        <v>1</v>
      </c>
      <c r="Y26" s="13" t="str">
        <f t="shared" si="1"/>
        <v>Sous objectif</v>
      </c>
    </row>
    <row r="27" spans="1:25" ht="18" customHeight="1">
      <c r="A27" s="12" t="s">
        <v>111</v>
      </c>
      <c r="B27" s="13"/>
      <c r="C27" s="13"/>
      <c r="D27" s="13"/>
      <c r="E27" s="14"/>
      <c r="F27" s="13"/>
      <c r="G27" s="13"/>
      <c r="H27" s="13"/>
      <c r="I27" s="13"/>
      <c r="J27" s="14"/>
      <c r="K27" s="13"/>
      <c r="L27" s="13"/>
      <c r="M27" s="13"/>
      <c r="N27" s="13"/>
      <c r="O27" s="14"/>
      <c r="P27" s="13"/>
      <c r="Q27" s="13"/>
      <c r="R27" s="13"/>
      <c r="S27" s="13"/>
      <c r="T27" s="14"/>
      <c r="U27" s="13"/>
      <c r="V27" s="13"/>
      <c r="W27" s="13"/>
      <c r="X27" s="16">
        <f t="shared" si="0"/>
        <v>0</v>
      </c>
      <c r="Y27" s="13" t="str">
        <f t="shared" si="1"/>
        <v>Sous objectif</v>
      </c>
    </row>
    <row r="28" spans="1:25" ht="18" customHeight="1">
      <c r="A28" s="12" t="s">
        <v>27</v>
      </c>
      <c r="B28" s="13"/>
      <c r="C28" s="13"/>
      <c r="D28" s="13"/>
      <c r="E28" s="14"/>
      <c r="F28" s="13"/>
      <c r="G28" s="13"/>
      <c r="H28" s="13">
        <v>1</v>
      </c>
      <c r="I28" s="13"/>
      <c r="J28" s="14"/>
      <c r="K28" s="13"/>
      <c r="L28" s="13"/>
      <c r="M28" s="13"/>
      <c r="N28" s="13"/>
      <c r="O28" s="14"/>
      <c r="P28" s="13"/>
      <c r="Q28" s="13"/>
      <c r="R28" s="13"/>
      <c r="S28" s="13"/>
      <c r="T28" s="14"/>
      <c r="U28" s="13"/>
      <c r="V28" s="13"/>
      <c r="W28" s="13">
        <v>1</v>
      </c>
      <c r="X28" s="16">
        <f t="shared" si="0"/>
        <v>2</v>
      </c>
      <c r="Y28" s="13" t="str">
        <f t="shared" si="1"/>
        <v>Atteint</v>
      </c>
    </row>
    <row r="29" spans="1:25" ht="18" customHeight="1">
      <c r="A29" s="12" t="s">
        <v>28</v>
      </c>
      <c r="B29" s="13"/>
      <c r="C29" s="13"/>
      <c r="D29" s="13"/>
      <c r="E29" s="14"/>
      <c r="F29" s="13"/>
      <c r="G29" s="13"/>
      <c r="H29" s="13">
        <v>1</v>
      </c>
      <c r="I29" s="13"/>
      <c r="J29" s="14"/>
      <c r="K29" s="13"/>
      <c r="L29" s="13"/>
      <c r="M29" s="13"/>
      <c r="N29" s="13"/>
      <c r="O29" s="14"/>
      <c r="P29" s="13">
        <v>1</v>
      </c>
      <c r="Q29" s="13"/>
      <c r="R29" s="13"/>
      <c r="S29" s="13"/>
      <c r="T29" s="14"/>
      <c r="U29" s="13"/>
      <c r="V29" s="13"/>
      <c r="W29" s="13">
        <v>1</v>
      </c>
      <c r="X29" s="16">
        <f t="shared" si="0"/>
        <v>3</v>
      </c>
      <c r="Y29" s="13" t="str">
        <f t="shared" si="1"/>
        <v>Atteint</v>
      </c>
    </row>
    <row r="30" spans="1:25" ht="18" customHeight="1">
      <c r="A30" s="12" t="s">
        <v>29</v>
      </c>
      <c r="B30" s="13"/>
      <c r="C30" s="13"/>
      <c r="D30" s="13"/>
      <c r="E30" s="14"/>
      <c r="F30" s="13"/>
      <c r="G30" s="13"/>
      <c r="H30" s="13">
        <v>1</v>
      </c>
      <c r="I30" s="13"/>
      <c r="J30" s="14"/>
      <c r="K30" s="13"/>
      <c r="L30" s="13"/>
      <c r="M30" s="13">
        <v>1</v>
      </c>
      <c r="N30" s="13"/>
      <c r="O30" s="14"/>
      <c r="P30" s="13">
        <v>1</v>
      </c>
      <c r="Q30" s="13">
        <v>1</v>
      </c>
      <c r="R30" s="13">
        <v>1</v>
      </c>
      <c r="S30" s="13"/>
      <c r="T30" s="14"/>
      <c r="U30" s="13"/>
      <c r="V30" s="13"/>
      <c r="W30" s="13"/>
      <c r="X30" s="16">
        <f t="shared" si="0"/>
        <v>5</v>
      </c>
      <c r="Y30" s="13" t="str">
        <f t="shared" si="1"/>
        <v>Atteint</v>
      </c>
    </row>
    <row r="32" spans="1:25" ht="15.75" customHeight="1">
      <c r="A32" s="22" t="s">
        <v>30</v>
      </c>
    </row>
    <row r="33" spans="1:23" ht="15.75" customHeight="1">
      <c r="A33" s="23" t="s">
        <v>31</v>
      </c>
      <c r="B33" s="13"/>
      <c r="C33" s="13"/>
      <c r="D33" s="13"/>
      <c r="E33" s="14"/>
      <c r="F33" s="13"/>
      <c r="G33" s="13"/>
      <c r="H33" s="13"/>
      <c r="I33" s="13"/>
      <c r="J33" s="14"/>
      <c r="K33" s="13"/>
      <c r="L33" s="13"/>
      <c r="M33" s="13"/>
      <c r="N33" s="13"/>
      <c r="O33" s="14"/>
      <c r="P33" s="13" t="s">
        <v>51</v>
      </c>
      <c r="Q33" s="13"/>
      <c r="R33" s="13"/>
      <c r="S33" s="13"/>
      <c r="T33" s="14"/>
      <c r="U33" s="13"/>
      <c r="V33" s="13"/>
      <c r="W33" s="13"/>
    </row>
    <row r="34" spans="1:23" ht="15.75" customHeight="1">
      <c r="A34" s="23" t="s">
        <v>32</v>
      </c>
      <c r="B34" s="13"/>
      <c r="C34" s="13"/>
      <c r="D34" s="13"/>
      <c r="E34" s="14"/>
      <c r="F34" s="13"/>
      <c r="G34" s="13"/>
      <c r="H34" s="13" t="s">
        <v>51</v>
      </c>
      <c r="I34" s="13"/>
      <c r="J34" s="14"/>
      <c r="K34" s="13"/>
      <c r="L34" s="13"/>
      <c r="M34" s="13"/>
      <c r="N34" s="13"/>
      <c r="O34" s="14"/>
      <c r="P34" s="13"/>
      <c r="Q34" s="13"/>
      <c r="R34" s="13"/>
      <c r="S34" s="13"/>
      <c r="T34" s="14"/>
      <c r="U34" s="13"/>
      <c r="V34" s="13"/>
      <c r="W34" s="13"/>
    </row>
    <row r="35" spans="1:23" ht="15.75" customHeight="1">
      <c r="A35" s="23" t="s">
        <v>33</v>
      </c>
      <c r="B35" s="13"/>
      <c r="C35" s="13"/>
      <c r="D35" s="13"/>
      <c r="E35" s="14"/>
      <c r="F35" s="13"/>
      <c r="G35" s="13"/>
      <c r="H35" s="13"/>
      <c r="I35" s="13"/>
      <c r="J35" s="14"/>
      <c r="K35" s="13"/>
      <c r="L35" s="13"/>
      <c r="M35" s="13"/>
      <c r="N35" s="13"/>
      <c r="O35" s="14"/>
      <c r="P35" s="13"/>
      <c r="Q35" s="13"/>
      <c r="R35" s="13"/>
      <c r="S35" s="13"/>
      <c r="T35" s="14"/>
      <c r="U35" s="13"/>
      <c r="V35" s="13"/>
      <c r="W35" s="13"/>
    </row>
  </sheetData>
  <mergeCells count="1">
    <mergeCell ref="A1:Y1"/>
  </mergeCells>
  <conditionalFormatting sqref="B4:W30">
    <cfRule type="cellIs" dxfId="14" priority="2" operator="equal">
      <formula>1</formula>
    </cfRule>
    <cfRule type="cellIs" dxfId="13" priority="3" operator="equal">
      <formula>"IC"</formula>
    </cfRule>
    <cfRule type="cellIs" dxfId="12" priority="4" operator="equal">
      <formula>"M"</formula>
    </cfRule>
  </conditionalFormatting>
  <conditionalFormatting sqref="B33:W35">
    <cfRule type="cellIs" dxfId="11" priority="5" operator="equal">
      <formula>"X"</formula>
    </cfRule>
  </conditionalFormatting>
  <dataValidations count="2">
    <dataValidation type="list" allowBlank="1" sqref="B33:W35" xr:uid="{00000000-0002-0000-0700-000000000000}">
      <formula1>"X"</formula1>
      <formula2>0</formula2>
    </dataValidation>
    <dataValidation type="list" allowBlank="1" sqref="B4:W30" xr:uid="{00000000-0002-0000-0700-000001000000}">
      <formula1>"1,IC,M"</formula1>
      <formula2>0</formula2>
    </dataValidation>
  </dataValidations>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34"/>
  <sheetViews>
    <sheetView tabSelected="1" zoomScaleNormal="100" workbookViewId="0">
      <pane xSplit="1" ySplit="3" topLeftCell="B4" activePane="bottomRight" state="frozen"/>
      <selection pane="topRight" activeCell="B1" sqref="B1"/>
      <selection pane="bottomLeft" activeCell="A4" sqref="A4"/>
      <selection pane="bottomRight" activeCell="T25" sqref="T25"/>
    </sheetView>
  </sheetViews>
  <sheetFormatPr baseColWidth="10" defaultColWidth="8.6640625" defaultRowHeight="15"/>
  <cols>
    <col min="1" max="1" width="26" customWidth="1"/>
    <col min="2" max="2" width="8" customWidth="1"/>
    <col min="25" max="25" width="18" customWidth="1"/>
  </cols>
  <sheetData>
    <row r="1" spans="1:25" ht="21.75" customHeight="1">
      <c r="A1" s="6" t="s">
        <v>0</v>
      </c>
    </row>
    <row r="3" spans="1:25" ht="21.75" customHeight="1">
      <c r="A3" s="25" t="s">
        <v>1</v>
      </c>
      <c r="B3" s="26">
        <v>46204</v>
      </c>
      <c r="C3" s="26">
        <v>46205</v>
      </c>
      <c r="D3" s="26">
        <v>46206</v>
      </c>
      <c r="E3" s="27">
        <v>46209</v>
      </c>
      <c r="F3" s="26">
        <v>46210</v>
      </c>
      <c r="G3" s="26">
        <v>46211</v>
      </c>
      <c r="H3" s="26">
        <v>46212</v>
      </c>
      <c r="I3" s="26">
        <v>46213</v>
      </c>
      <c r="J3" s="27">
        <v>46216</v>
      </c>
      <c r="K3" s="26">
        <v>46218</v>
      </c>
      <c r="L3" s="26">
        <v>46219</v>
      </c>
      <c r="M3" s="26">
        <v>46220</v>
      </c>
      <c r="N3" s="27">
        <v>46223</v>
      </c>
      <c r="O3" s="26">
        <v>46224</v>
      </c>
      <c r="P3" s="26">
        <v>46225</v>
      </c>
      <c r="Q3" s="26">
        <v>46226</v>
      </c>
      <c r="R3" s="26">
        <v>46227</v>
      </c>
      <c r="S3" s="27">
        <v>46230</v>
      </c>
      <c r="T3" s="26">
        <v>46231</v>
      </c>
      <c r="U3" s="26">
        <v>46232</v>
      </c>
      <c r="V3" s="26">
        <v>46233</v>
      </c>
      <c r="W3" s="26">
        <v>46234</v>
      </c>
      <c r="X3" s="28" t="s">
        <v>2</v>
      </c>
      <c r="Y3" s="29" t="s">
        <v>3</v>
      </c>
    </row>
    <row r="4" spans="1:25" ht="18" customHeight="1">
      <c r="A4" s="23" t="s">
        <v>4</v>
      </c>
      <c r="B4" s="13"/>
      <c r="C4" s="13"/>
      <c r="D4" s="13"/>
      <c r="E4" s="30"/>
      <c r="F4" s="13">
        <v>1</v>
      </c>
      <c r="G4" s="13"/>
      <c r="H4" s="13"/>
      <c r="I4" s="13"/>
      <c r="J4" s="30"/>
      <c r="K4" s="13"/>
      <c r="L4" s="13"/>
      <c r="M4" s="13"/>
      <c r="N4" s="30"/>
      <c r="O4" s="13">
        <v>1</v>
      </c>
      <c r="P4" s="13"/>
      <c r="Q4" s="13"/>
      <c r="R4" s="13"/>
      <c r="S4" s="30"/>
      <c r="T4" s="13"/>
      <c r="U4" s="13"/>
      <c r="V4" s="13"/>
      <c r="W4" s="13"/>
      <c r="X4" s="31">
        <f t="shared" ref="X4:X28" si="0">COUNTIF(B4:W4,1)+COUNTIF(B4:W4,"IC")</f>
        <v>2</v>
      </c>
      <c r="Y4" s="13" t="str">
        <f t="shared" ref="Y4:Y28" si="1">IF(COUNTIF(B4:W4,"M")&gt;0,"N/A absence longue",IF(X4&gt;=2,"Atteint","Sous objectif"))</f>
        <v>Atteint</v>
      </c>
    </row>
    <row r="5" spans="1:25" ht="18" customHeight="1">
      <c r="A5" s="23" t="s">
        <v>5</v>
      </c>
      <c r="B5" s="13"/>
      <c r="C5" s="13"/>
      <c r="D5" s="13"/>
      <c r="E5" s="30"/>
      <c r="F5" s="13"/>
      <c r="G5" s="13"/>
      <c r="H5" s="13"/>
      <c r="I5" s="13"/>
      <c r="J5" s="30" t="s">
        <v>6</v>
      </c>
      <c r="K5" s="13"/>
      <c r="L5" s="13"/>
      <c r="M5" s="13"/>
      <c r="N5" s="30"/>
      <c r="O5" s="13"/>
      <c r="P5" s="13"/>
      <c r="Q5" s="13"/>
      <c r="R5" s="13"/>
      <c r="S5" s="30"/>
      <c r="T5" s="13"/>
      <c r="U5" s="13"/>
      <c r="V5" s="13"/>
      <c r="W5" s="13"/>
      <c r="X5" s="31">
        <f t="shared" si="0"/>
        <v>1</v>
      </c>
      <c r="Y5" s="13" t="str">
        <f t="shared" si="1"/>
        <v>Sous objectif</v>
      </c>
    </row>
    <row r="6" spans="1:25" ht="18" customHeight="1">
      <c r="A6" s="23" t="s">
        <v>7</v>
      </c>
      <c r="B6" s="13"/>
      <c r="C6" s="13"/>
      <c r="D6" s="13"/>
      <c r="E6" s="30"/>
      <c r="F6" s="13"/>
      <c r="G6" s="13"/>
      <c r="H6" s="13"/>
      <c r="I6" s="13"/>
      <c r="J6" s="30"/>
      <c r="K6" s="13"/>
      <c r="L6" s="13"/>
      <c r="M6" s="13"/>
      <c r="N6" s="30"/>
      <c r="O6" s="13"/>
      <c r="P6" s="13"/>
      <c r="Q6" s="13"/>
      <c r="R6" s="13"/>
      <c r="S6" s="30"/>
      <c r="T6" s="13"/>
      <c r="U6" s="13"/>
      <c r="V6" s="13"/>
      <c r="W6" s="13"/>
      <c r="X6" s="31">
        <f t="shared" si="0"/>
        <v>0</v>
      </c>
      <c r="Y6" s="13" t="str">
        <f t="shared" si="1"/>
        <v>Sous objectif</v>
      </c>
    </row>
    <row r="7" spans="1:25" ht="18" customHeight="1">
      <c r="A7" s="23" t="s">
        <v>8</v>
      </c>
      <c r="B7" s="13"/>
      <c r="C7" s="13">
        <v>1</v>
      </c>
      <c r="D7" s="13"/>
      <c r="E7" s="30"/>
      <c r="F7" s="13">
        <v>1</v>
      </c>
      <c r="G7" s="13"/>
      <c r="H7" s="13"/>
      <c r="I7" s="13"/>
      <c r="J7" s="30"/>
      <c r="K7" s="13"/>
      <c r="L7" s="13">
        <v>1</v>
      </c>
      <c r="M7" s="13"/>
      <c r="N7" s="30"/>
      <c r="O7" s="13"/>
      <c r="P7" s="13"/>
      <c r="Q7" s="13"/>
      <c r="R7" s="13"/>
      <c r="S7" s="30"/>
      <c r="T7" s="13"/>
      <c r="U7" s="13"/>
      <c r="V7" s="13"/>
      <c r="W7" s="13"/>
      <c r="X7" s="31">
        <f t="shared" si="0"/>
        <v>3</v>
      </c>
      <c r="Y7" s="13" t="str">
        <f t="shared" si="1"/>
        <v>Atteint</v>
      </c>
    </row>
    <row r="8" spans="1:25" ht="18" customHeight="1">
      <c r="A8" s="23" t="s">
        <v>9</v>
      </c>
      <c r="B8" s="13"/>
      <c r="C8" s="13" t="s">
        <v>6</v>
      </c>
      <c r="D8" s="13"/>
      <c r="E8" s="30" t="s">
        <v>6</v>
      </c>
      <c r="F8" s="13" t="s">
        <v>6</v>
      </c>
      <c r="G8" s="13"/>
      <c r="H8" s="13" t="s">
        <v>6</v>
      </c>
      <c r="I8" s="13"/>
      <c r="J8" s="30" t="s">
        <v>6</v>
      </c>
      <c r="K8" s="13"/>
      <c r="L8" s="13"/>
      <c r="M8" s="13"/>
      <c r="N8" s="30"/>
      <c r="O8" s="13"/>
      <c r="P8" s="13"/>
      <c r="Q8" s="13"/>
      <c r="R8" s="13"/>
      <c r="S8" s="30"/>
      <c r="T8" s="13"/>
      <c r="U8" s="13"/>
      <c r="V8" s="13"/>
      <c r="W8" s="13"/>
      <c r="X8" s="31">
        <f t="shared" si="0"/>
        <v>5</v>
      </c>
      <c r="Y8" s="13" t="str">
        <f t="shared" si="1"/>
        <v>Atteint</v>
      </c>
    </row>
    <row r="9" spans="1:25" ht="18" customHeight="1">
      <c r="A9" s="23" t="s">
        <v>10</v>
      </c>
      <c r="B9" s="13"/>
      <c r="C9" s="13"/>
      <c r="D9" s="13"/>
      <c r="E9" s="30"/>
      <c r="F9" s="13"/>
      <c r="G9" s="13"/>
      <c r="H9" s="13"/>
      <c r="I9" s="13"/>
      <c r="J9" s="30"/>
      <c r="K9" s="13"/>
      <c r="L9" s="13"/>
      <c r="M9" s="13"/>
      <c r="N9" s="30"/>
      <c r="O9" s="13"/>
      <c r="P9" s="13"/>
      <c r="Q9" s="13"/>
      <c r="R9" s="13"/>
      <c r="S9" s="30"/>
      <c r="T9" s="13"/>
      <c r="U9" s="13"/>
      <c r="V9" s="13"/>
      <c r="W9" s="13"/>
      <c r="X9" s="31">
        <f t="shared" si="0"/>
        <v>0</v>
      </c>
      <c r="Y9" s="13" t="str">
        <f t="shared" si="1"/>
        <v>Sous objectif</v>
      </c>
    </row>
    <row r="10" spans="1:25" ht="18" customHeight="1">
      <c r="A10" s="23" t="s">
        <v>11</v>
      </c>
      <c r="B10" s="13">
        <v>1</v>
      </c>
      <c r="C10" s="13"/>
      <c r="D10" s="13"/>
      <c r="E10" s="30"/>
      <c r="F10" s="13"/>
      <c r="G10" s="13"/>
      <c r="H10" s="13"/>
      <c r="I10" s="13"/>
      <c r="J10" s="30"/>
      <c r="K10" s="13"/>
      <c r="L10" s="13"/>
      <c r="M10" s="13"/>
      <c r="N10" s="30"/>
      <c r="O10" s="13"/>
      <c r="P10" s="13"/>
      <c r="Q10" s="13"/>
      <c r="R10" s="13"/>
      <c r="S10" s="30"/>
      <c r="T10" s="13">
        <v>1</v>
      </c>
      <c r="U10" s="13"/>
      <c r="V10" s="13"/>
      <c r="W10" s="13"/>
      <c r="X10" s="31">
        <f t="shared" si="0"/>
        <v>2</v>
      </c>
      <c r="Y10" s="13" t="str">
        <f t="shared" si="1"/>
        <v>Atteint</v>
      </c>
    </row>
    <row r="11" spans="1:25" ht="18" customHeight="1">
      <c r="A11" s="23" t="s">
        <v>12</v>
      </c>
      <c r="B11" s="13"/>
      <c r="C11" s="13"/>
      <c r="D11" s="13"/>
      <c r="E11" s="30"/>
      <c r="F11" s="13">
        <v>1</v>
      </c>
      <c r="G11" s="13"/>
      <c r="H11" s="13">
        <v>1</v>
      </c>
      <c r="I11" s="13"/>
      <c r="J11" s="30"/>
      <c r="K11" s="13"/>
      <c r="L11" s="13">
        <v>1</v>
      </c>
      <c r="M11" s="13"/>
      <c r="N11" s="30"/>
      <c r="O11" s="13"/>
      <c r="P11" s="13"/>
      <c r="Q11" s="13"/>
      <c r="R11" s="13"/>
      <c r="S11" s="30"/>
      <c r="T11" s="13">
        <v>1</v>
      </c>
      <c r="U11" s="13"/>
      <c r="V11" s="13"/>
      <c r="W11" s="13"/>
      <c r="X11" s="31">
        <f t="shared" si="0"/>
        <v>4</v>
      </c>
      <c r="Y11" s="13" t="str">
        <f t="shared" si="1"/>
        <v>Atteint</v>
      </c>
    </row>
    <row r="12" spans="1:25" ht="18" customHeight="1">
      <c r="A12" s="23" t="s">
        <v>13</v>
      </c>
      <c r="B12" s="13"/>
      <c r="C12" s="13"/>
      <c r="D12" s="13"/>
      <c r="E12" s="30"/>
      <c r="F12" s="13"/>
      <c r="G12" s="13"/>
      <c r="H12" s="13"/>
      <c r="I12" s="13"/>
      <c r="J12" s="30"/>
      <c r="K12" s="13"/>
      <c r="L12" s="13"/>
      <c r="M12" s="13"/>
      <c r="N12" s="30"/>
      <c r="O12" s="13"/>
      <c r="P12" s="13"/>
      <c r="Q12" s="13"/>
      <c r="R12" s="13"/>
      <c r="S12" s="30"/>
      <c r="T12" s="13"/>
      <c r="U12" s="13"/>
      <c r="V12" s="13"/>
      <c r="W12" s="13"/>
      <c r="X12" s="31">
        <f t="shared" si="0"/>
        <v>0</v>
      </c>
      <c r="Y12" s="13" t="str">
        <f t="shared" si="1"/>
        <v>Sous objectif</v>
      </c>
    </row>
    <row r="13" spans="1:25" ht="18" customHeight="1">
      <c r="A13" s="23" t="s">
        <v>14</v>
      </c>
      <c r="B13" s="13"/>
      <c r="C13" s="13"/>
      <c r="D13" s="13"/>
      <c r="E13" s="30"/>
      <c r="F13" s="13"/>
      <c r="G13" s="13"/>
      <c r="H13" s="13"/>
      <c r="I13" s="13"/>
      <c r="J13" s="30"/>
      <c r="K13" s="13"/>
      <c r="L13" s="13"/>
      <c r="M13" s="13"/>
      <c r="N13" s="30"/>
      <c r="O13" s="13">
        <v>1</v>
      </c>
      <c r="P13" s="13"/>
      <c r="Q13" s="13"/>
      <c r="R13" s="13"/>
      <c r="S13" s="30"/>
      <c r="T13" s="13"/>
      <c r="U13" s="13"/>
      <c r="V13" s="13"/>
      <c r="W13" s="13"/>
      <c r="X13" s="31">
        <f t="shared" si="0"/>
        <v>1</v>
      </c>
      <c r="Y13" s="13" t="str">
        <f t="shared" si="1"/>
        <v>Sous objectif</v>
      </c>
    </row>
    <row r="14" spans="1:25" ht="18" customHeight="1">
      <c r="A14" s="23" t="s">
        <v>15</v>
      </c>
      <c r="B14" s="13"/>
      <c r="C14" s="13"/>
      <c r="D14" s="13"/>
      <c r="E14" s="30"/>
      <c r="F14" s="13">
        <v>1</v>
      </c>
      <c r="G14" s="13"/>
      <c r="H14" s="13"/>
      <c r="I14" s="13"/>
      <c r="J14" s="30"/>
      <c r="K14" s="13"/>
      <c r="L14" s="13"/>
      <c r="M14" s="13"/>
      <c r="N14" s="30"/>
      <c r="O14" s="13"/>
      <c r="P14" s="13"/>
      <c r="Q14" s="13"/>
      <c r="R14" s="13"/>
      <c r="S14" s="30"/>
      <c r="T14" s="13"/>
      <c r="U14" s="13"/>
      <c r="V14" s="13"/>
      <c r="W14" s="13"/>
      <c r="X14" s="31">
        <f t="shared" si="0"/>
        <v>1</v>
      </c>
      <c r="Y14" s="13" t="str">
        <f t="shared" si="1"/>
        <v>Sous objectif</v>
      </c>
    </row>
    <row r="15" spans="1:25" ht="18" customHeight="1">
      <c r="A15" s="23" t="s">
        <v>16</v>
      </c>
      <c r="B15" s="13"/>
      <c r="C15" s="13"/>
      <c r="D15" s="13"/>
      <c r="E15" s="30"/>
      <c r="F15" s="13">
        <v>1</v>
      </c>
      <c r="G15" s="13"/>
      <c r="H15" s="13"/>
      <c r="I15" s="13"/>
      <c r="J15" s="30"/>
      <c r="K15" s="13"/>
      <c r="L15" s="13"/>
      <c r="M15" s="13"/>
      <c r="N15" s="30"/>
      <c r="O15" s="13"/>
      <c r="P15" s="13"/>
      <c r="Q15" s="13"/>
      <c r="R15" s="13"/>
      <c r="S15" s="30"/>
      <c r="T15" s="13"/>
      <c r="U15" s="13"/>
      <c r="V15" s="13"/>
      <c r="W15" s="13"/>
      <c r="X15" s="31">
        <f t="shared" si="0"/>
        <v>1</v>
      </c>
      <c r="Y15" s="13" t="str">
        <f t="shared" si="1"/>
        <v>Sous objectif</v>
      </c>
    </row>
    <row r="16" spans="1:25" ht="18" customHeight="1">
      <c r="A16" s="23" t="s">
        <v>17</v>
      </c>
      <c r="B16" s="13"/>
      <c r="C16" s="13"/>
      <c r="D16" s="13"/>
      <c r="E16" s="30"/>
      <c r="F16" s="13"/>
      <c r="G16" s="13"/>
      <c r="H16" s="13"/>
      <c r="I16" s="13"/>
      <c r="J16" s="30"/>
      <c r="K16" s="13"/>
      <c r="L16" s="13"/>
      <c r="M16" s="13"/>
      <c r="N16" s="30"/>
      <c r="O16" s="13"/>
      <c r="P16" s="13">
        <v>1</v>
      </c>
      <c r="Q16" s="13">
        <v>1</v>
      </c>
      <c r="R16" s="13"/>
      <c r="S16" s="30"/>
      <c r="T16" s="13"/>
      <c r="U16" s="13"/>
      <c r="V16" s="13"/>
      <c r="W16" s="13"/>
      <c r="X16" s="31">
        <f t="shared" si="0"/>
        <v>2</v>
      </c>
      <c r="Y16" s="13" t="str">
        <f t="shared" si="1"/>
        <v>Atteint</v>
      </c>
    </row>
    <row r="17" spans="1:25" ht="18" customHeight="1">
      <c r="A17" s="23" t="s">
        <v>18</v>
      </c>
      <c r="B17" s="13"/>
      <c r="C17" s="13"/>
      <c r="D17" s="13"/>
      <c r="E17" s="30"/>
      <c r="F17" s="13">
        <v>1</v>
      </c>
      <c r="G17" s="13"/>
      <c r="H17" s="13"/>
      <c r="I17" s="13"/>
      <c r="J17" s="30"/>
      <c r="K17" s="13"/>
      <c r="L17" s="13"/>
      <c r="M17" s="13"/>
      <c r="N17" s="30"/>
      <c r="O17" s="13"/>
      <c r="P17" s="13"/>
      <c r="Q17" s="13"/>
      <c r="R17" s="13"/>
      <c r="S17" s="30"/>
      <c r="T17" s="13"/>
      <c r="U17" s="13"/>
      <c r="V17" s="13"/>
      <c r="W17" s="13"/>
      <c r="X17" s="31">
        <f t="shared" si="0"/>
        <v>1</v>
      </c>
      <c r="Y17" s="13" t="str">
        <f t="shared" si="1"/>
        <v>Sous objectif</v>
      </c>
    </row>
    <row r="18" spans="1:25" ht="18" customHeight="1">
      <c r="A18" s="23" t="s">
        <v>19</v>
      </c>
      <c r="B18" s="13"/>
      <c r="C18" s="13" t="s">
        <v>6</v>
      </c>
      <c r="D18" s="13"/>
      <c r="E18" s="30"/>
      <c r="F18" s="13" t="s">
        <v>6</v>
      </c>
      <c r="G18" s="13"/>
      <c r="H18" s="13" t="s">
        <v>6</v>
      </c>
      <c r="I18" s="13"/>
      <c r="J18" s="30"/>
      <c r="K18" s="13"/>
      <c r="L18" s="13" t="s">
        <v>6</v>
      </c>
      <c r="M18" s="13"/>
      <c r="N18" s="30"/>
      <c r="O18" s="13" t="s">
        <v>6</v>
      </c>
      <c r="P18" s="13"/>
      <c r="Q18" s="13"/>
      <c r="R18" s="13"/>
      <c r="S18" s="30"/>
      <c r="T18" s="13"/>
      <c r="U18" s="13"/>
      <c r="V18" s="13"/>
      <c r="W18" s="13"/>
      <c r="X18" s="31">
        <f t="shared" si="0"/>
        <v>5</v>
      </c>
      <c r="Y18" s="13" t="str">
        <f t="shared" si="1"/>
        <v>Atteint</v>
      </c>
    </row>
    <row r="19" spans="1:25" ht="18" customHeight="1">
      <c r="A19" s="23" t="s">
        <v>20</v>
      </c>
      <c r="B19" s="13"/>
      <c r="C19" s="13"/>
      <c r="D19" s="13"/>
      <c r="E19" s="30"/>
      <c r="F19" s="13">
        <v>1</v>
      </c>
      <c r="G19" s="13"/>
      <c r="H19" s="13"/>
      <c r="I19" s="13"/>
      <c r="J19" s="30"/>
      <c r="K19" s="13"/>
      <c r="L19" s="13"/>
      <c r="M19" s="13"/>
      <c r="N19" s="30"/>
      <c r="O19" s="13">
        <v>1</v>
      </c>
      <c r="P19" s="13"/>
      <c r="Q19" s="13"/>
      <c r="R19" s="13"/>
      <c r="S19" s="30"/>
      <c r="T19" s="13"/>
      <c r="U19" s="13"/>
      <c r="V19" s="13"/>
      <c r="W19" s="13"/>
      <c r="X19" s="31">
        <f t="shared" si="0"/>
        <v>2</v>
      </c>
      <c r="Y19" s="13" t="str">
        <f t="shared" si="1"/>
        <v>Atteint</v>
      </c>
    </row>
    <row r="20" spans="1:25" ht="18" customHeight="1">
      <c r="A20" s="23" t="s">
        <v>21</v>
      </c>
      <c r="B20" s="13"/>
      <c r="C20" s="13"/>
      <c r="D20" s="13"/>
      <c r="E20" s="30"/>
      <c r="F20" s="13"/>
      <c r="G20" s="13"/>
      <c r="H20" s="13"/>
      <c r="I20" s="13"/>
      <c r="J20" s="30"/>
      <c r="K20" s="13"/>
      <c r="L20" s="13"/>
      <c r="M20" s="13"/>
      <c r="N20" s="30"/>
      <c r="O20" s="13"/>
      <c r="P20" s="13"/>
      <c r="Q20" s="13"/>
      <c r="R20" s="13"/>
      <c r="S20" s="30"/>
      <c r="T20" s="13"/>
      <c r="U20" s="13"/>
      <c r="V20" s="13"/>
      <c r="W20" s="13"/>
      <c r="X20" s="31">
        <f t="shared" si="0"/>
        <v>0</v>
      </c>
      <c r="Y20" s="13" t="str">
        <f t="shared" si="1"/>
        <v>Sous objectif</v>
      </c>
    </row>
    <row r="21" spans="1:25" ht="18" customHeight="1">
      <c r="A21" s="23" t="s">
        <v>22</v>
      </c>
      <c r="B21" s="13"/>
      <c r="C21" s="13"/>
      <c r="D21" s="13"/>
      <c r="E21" s="30"/>
      <c r="F21" s="13"/>
      <c r="G21" s="13"/>
      <c r="H21" s="13"/>
      <c r="I21" s="13"/>
      <c r="J21" s="30"/>
      <c r="K21" s="13"/>
      <c r="L21" s="13"/>
      <c r="M21" s="13"/>
      <c r="N21" s="30"/>
      <c r="O21" s="13"/>
      <c r="P21" s="13"/>
      <c r="Q21" s="13"/>
      <c r="R21" s="13"/>
      <c r="S21" s="30"/>
      <c r="T21" s="13"/>
      <c r="U21" s="13"/>
      <c r="V21" s="13"/>
      <c r="W21" s="13"/>
      <c r="X21" s="31">
        <f t="shared" si="0"/>
        <v>0</v>
      </c>
      <c r="Y21" s="13" t="str">
        <f t="shared" si="1"/>
        <v>Sous objectif</v>
      </c>
    </row>
    <row r="22" spans="1:25" ht="18" customHeight="1">
      <c r="A22" s="23" t="s">
        <v>23</v>
      </c>
      <c r="B22" s="13"/>
      <c r="C22" s="13">
        <v>1</v>
      </c>
      <c r="D22" s="13"/>
      <c r="E22" s="30"/>
      <c r="F22" s="13"/>
      <c r="G22" s="13"/>
      <c r="H22" s="13"/>
      <c r="I22" s="13"/>
      <c r="J22" s="30"/>
      <c r="K22" s="13"/>
      <c r="L22" s="13"/>
      <c r="M22" s="13"/>
      <c r="N22" s="30">
        <v>1</v>
      </c>
      <c r="O22" s="13"/>
      <c r="P22" s="13">
        <v>1</v>
      </c>
      <c r="Q22" s="13"/>
      <c r="R22" s="13"/>
      <c r="S22" s="30"/>
      <c r="T22" s="13">
        <v>1</v>
      </c>
      <c r="U22" s="13"/>
      <c r="V22" s="13"/>
      <c r="W22" s="13"/>
      <c r="X22" s="31">
        <f t="shared" si="0"/>
        <v>4</v>
      </c>
      <c r="Y22" s="13" t="str">
        <f t="shared" si="1"/>
        <v>Atteint</v>
      </c>
    </row>
    <row r="23" spans="1:25" ht="18" customHeight="1">
      <c r="A23" s="23" t="s">
        <v>24</v>
      </c>
      <c r="B23" s="13"/>
      <c r="C23" s="13"/>
      <c r="D23" s="13"/>
      <c r="E23" s="30"/>
      <c r="F23" s="13"/>
      <c r="G23" s="13"/>
      <c r="H23" s="13"/>
      <c r="I23" s="13"/>
      <c r="J23" s="30"/>
      <c r="K23" s="13"/>
      <c r="L23" s="13"/>
      <c r="M23" s="13"/>
      <c r="N23" s="30"/>
      <c r="O23" s="13"/>
      <c r="P23" s="13"/>
      <c r="Q23" s="13"/>
      <c r="R23" s="13"/>
      <c r="S23" s="30"/>
      <c r="T23" s="13"/>
      <c r="U23" s="13"/>
      <c r="V23" s="13"/>
      <c r="W23" s="13"/>
      <c r="X23" s="31">
        <f t="shared" si="0"/>
        <v>0</v>
      </c>
      <c r="Y23" s="13" t="str">
        <f t="shared" si="1"/>
        <v>Sous objectif</v>
      </c>
    </row>
    <row r="24" spans="1:25" ht="18" customHeight="1">
      <c r="A24" s="23" t="s">
        <v>25</v>
      </c>
      <c r="B24" s="13"/>
      <c r="C24" s="13"/>
      <c r="D24" s="13"/>
      <c r="E24" s="30"/>
      <c r="F24" s="13"/>
      <c r="G24" s="13"/>
      <c r="H24" s="13"/>
      <c r="I24" s="13"/>
      <c r="J24" s="30"/>
      <c r="K24" s="13"/>
      <c r="L24" s="13">
        <v>1</v>
      </c>
      <c r="M24" s="13"/>
      <c r="N24" s="30"/>
      <c r="O24" s="13"/>
      <c r="P24" s="13"/>
      <c r="Q24" s="13"/>
      <c r="R24" s="13"/>
      <c r="S24" s="30"/>
      <c r="T24" s="13">
        <v>1</v>
      </c>
      <c r="U24" s="13"/>
      <c r="V24" s="13"/>
      <c r="W24" s="13"/>
      <c r="X24" s="31">
        <f t="shared" si="0"/>
        <v>2</v>
      </c>
      <c r="Y24" s="13" t="str">
        <f t="shared" si="1"/>
        <v>Atteint</v>
      </c>
    </row>
    <row r="25" spans="1:25" ht="18" customHeight="1">
      <c r="A25" s="23" t="s">
        <v>26</v>
      </c>
      <c r="B25" s="13"/>
      <c r="C25" s="13">
        <v>1</v>
      </c>
      <c r="D25" s="13"/>
      <c r="E25" s="30"/>
      <c r="F25" s="13"/>
      <c r="G25" s="13"/>
      <c r="H25" s="13"/>
      <c r="I25" s="13"/>
      <c r="J25" s="30"/>
      <c r="K25" s="13"/>
      <c r="L25" s="13"/>
      <c r="M25" s="13"/>
      <c r="N25" s="30"/>
      <c r="O25" s="13"/>
      <c r="P25" s="13"/>
      <c r="Q25" s="13"/>
      <c r="R25" s="13"/>
      <c r="S25" s="30"/>
      <c r="T25" s="13">
        <v>1</v>
      </c>
      <c r="U25" s="13"/>
      <c r="V25" s="13"/>
      <c r="W25" s="13"/>
      <c r="X25" s="31">
        <f t="shared" si="0"/>
        <v>2</v>
      </c>
      <c r="Y25" s="13" t="str">
        <f t="shared" si="1"/>
        <v>Atteint</v>
      </c>
    </row>
    <row r="26" spans="1:25" ht="18" customHeight="1">
      <c r="A26" s="23" t="s">
        <v>27</v>
      </c>
      <c r="B26" s="13"/>
      <c r="C26" s="13"/>
      <c r="D26" s="13"/>
      <c r="E26" s="30"/>
      <c r="F26" s="13"/>
      <c r="G26" s="13"/>
      <c r="H26" s="13"/>
      <c r="I26" s="13"/>
      <c r="J26" s="30"/>
      <c r="K26" s="13"/>
      <c r="L26" s="13"/>
      <c r="M26" s="13"/>
      <c r="N26" s="30"/>
      <c r="O26" s="13"/>
      <c r="P26" s="13"/>
      <c r="Q26" s="13"/>
      <c r="R26" s="13"/>
      <c r="S26" s="30"/>
      <c r="T26" s="13"/>
      <c r="U26" s="13"/>
      <c r="V26" s="13"/>
      <c r="W26" s="13"/>
      <c r="X26" s="31">
        <f t="shared" si="0"/>
        <v>0</v>
      </c>
      <c r="Y26" s="13" t="str">
        <f t="shared" si="1"/>
        <v>Sous objectif</v>
      </c>
    </row>
    <row r="27" spans="1:25" ht="18" customHeight="1">
      <c r="A27" s="23" t="s">
        <v>28</v>
      </c>
      <c r="B27" s="13"/>
      <c r="C27" s="13"/>
      <c r="D27" s="13"/>
      <c r="E27" s="30"/>
      <c r="F27" s="13">
        <v>1</v>
      </c>
      <c r="G27" s="13"/>
      <c r="H27" s="13"/>
      <c r="I27" s="13"/>
      <c r="J27" s="30"/>
      <c r="K27" s="13"/>
      <c r="L27" s="13"/>
      <c r="M27" s="13"/>
      <c r="N27" s="30"/>
      <c r="O27" s="13"/>
      <c r="P27" s="13"/>
      <c r="Q27" s="13"/>
      <c r="R27" s="13"/>
      <c r="S27" s="30"/>
      <c r="T27" s="13"/>
      <c r="U27" s="13"/>
      <c r="V27" s="13"/>
      <c r="W27" s="13"/>
      <c r="X27" s="31">
        <f t="shared" si="0"/>
        <v>1</v>
      </c>
      <c r="Y27" s="13" t="str">
        <f t="shared" si="1"/>
        <v>Sous objectif</v>
      </c>
    </row>
    <row r="28" spans="1:25" ht="18" customHeight="1">
      <c r="A28" s="23" t="s">
        <v>29</v>
      </c>
      <c r="B28" s="13"/>
      <c r="C28" s="13"/>
      <c r="D28" s="13"/>
      <c r="E28" s="30"/>
      <c r="F28" s="13"/>
      <c r="G28" s="13"/>
      <c r="H28" s="13"/>
      <c r="I28" s="13"/>
      <c r="J28" s="30"/>
      <c r="K28" s="13"/>
      <c r="L28" s="13"/>
      <c r="M28" s="13"/>
      <c r="N28" s="30"/>
      <c r="O28" s="13"/>
      <c r="P28" s="13"/>
      <c r="Q28" s="13"/>
      <c r="R28" s="13"/>
      <c r="S28" s="30"/>
      <c r="T28" s="13"/>
      <c r="U28" s="13"/>
      <c r="V28" s="13"/>
      <c r="W28" s="13"/>
      <c r="X28" s="31">
        <f t="shared" si="0"/>
        <v>0</v>
      </c>
      <c r="Y28" s="13" t="str">
        <f t="shared" si="1"/>
        <v>Sous objectif</v>
      </c>
    </row>
    <row r="29" spans="1:25" ht="18" customHeight="1">
      <c r="A29" s="23"/>
      <c r="B29" s="13"/>
      <c r="C29" s="13"/>
      <c r="D29" s="13"/>
      <c r="E29" s="13"/>
      <c r="F29" s="13"/>
      <c r="G29" s="13"/>
      <c r="H29" s="13"/>
      <c r="I29" s="13"/>
      <c r="J29" s="13"/>
      <c r="K29" s="13"/>
      <c r="L29" s="13"/>
      <c r="M29" s="13"/>
      <c r="N29" s="13"/>
      <c r="O29" s="13"/>
      <c r="P29" s="13"/>
      <c r="Q29" s="13"/>
      <c r="R29" s="13"/>
      <c r="S29" s="13"/>
      <c r="T29" s="13"/>
      <c r="U29" s="13"/>
      <c r="V29" s="13"/>
      <c r="W29" s="13"/>
      <c r="X29" s="32"/>
      <c r="Y29" s="13"/>
    </row>
    <row r="30" spans="1:25" ht="15.75" customHeight="1">
      <c r="A30" s="33" t="s">
        <v>30</v>
      </c>
    </row>
    <row r="31" spans="1:25" ht="15.75" customHeight="1">
      <c r="A31" s="23" t="s">
        <v>31</v>
      </c>
      <c r="B31" s="13"/>
      <c r="C31" s="13"/>
      <c r="D31" s="13"/>
      <c r="E31" s="30"/>
      <c r="F31" s="13"/>
      <c r="G31" s="13"/>
      <c r="H31" s="13"/>
      <c r="I31" s="13"/>
      <c r="J31" s="30"/>
      <c r="K31" s="13"/>
      <c r="L31" s="13"/>
      <c r="M31" s="13"/>
      <c r="N31" s="30"/>
      <c r="O31" s="13"/>
      <c r="P31" s="13"/>
      <c r="Q31" s="13"/>
      <c r="R31" s="13"/>
      <c r="S31" s="30"/>
      <c r="T31" s="13"/>
      <c r="U31" s="13"/>
      <c r="V31" s="13"/>
      <c r="W31" s="13"/>
    </row>
    <row r="32" spans="1:25" ht="15.75" customHeight="1">
      <c r="A32" s="23" t="s">
        <v>32</v>
      </c>
      <c r="B32" s="13"/>
      <c r="C32" s="13"/>
      <c r="D32" s="13"/>
      <c r="E32" s="30"/>
      <c r="F32" s="13"/>
      <c r="G32" s="13"/>
      <c r="H32" s="13"/>
      <c r="I32" s="13"/>
      <c r="J32" s="30"/>
      <c r="K32" s="13"/>
      <c r="L32" s="13"/>
      <c r="M32" s="13"/>
      <c r="N32" s="30"/>
      <c r="O32" s="13"/>
      <c r="P32" s="13"/>
      <c r="Q32" s="13"/>
      <c r="R32" s="13"/>
      <c r="S32" s="30"/>
      <c r="T32" s="13"/>
      <c r="U32" s="13"/>
      <c r="V32" s="13"/>
      <c r="W32" s="13"/>
    </row>
    <row r="33" spans="1:23" ht="15.75" customHeight="1">
      <c r="A33" s="23" t="s">
        <v>33</v>
      </c>
      <c r="B33" s="13"/>
      <c r="C33" s="13"/>
      <c r="D33" s="13"/>
      <c r="E33" s="30"/>
      <c r="F33" s="13"/>
      <c r="G33" s="13"/>
      <c r="H33" s="13"/>
      <c r="I33" s="13"/>
      <c r="J33" s="30"/>
      <c r="K33" s="13"/>
      <c r="L33" s="13"/>
      <c r="M33" s="13"/>
      <c r="N33" s="30"/>
      <c r="O33" s="13"/>
      <c r="P33" s="13"/>
      <c r="Q33" s="13"/>
      <c r="R33" s="13"/>
      <c r="S33" s="30"/>
      <c r="T33" s="13"/>
      <c r="U33" s="13"/>
      <c r="V33" s="13"/>
      <c r="W33" s="13"/>
    </row>
    <row r="34" spans="1:23" ht="15" customHeight="1">
      <c r="A34" s="23"/>
      <c r="B34" s="13"/>
      <c r="C34" s="13"/>
      <c r="D34" s="13"/>
      <c r="E34" s="30"/>
      <c r="F34" s="13"/>
      <c r="G34" s="13"/>
      <c r="H34" s="13"/>
      <c r="I34" s="13"/>
      <c r="J34" s="30"/>
      <c r="K34" s="13"/>
      <c r="L34" s="13"/>
      <c r="M34" s="13"/>
      <c r="N34" s="30"/>
      <c r="O34" s="13"/>
      <c r="P34" s="13"/>
      <c r="Q34" s="13"/>
      <c r="R34" s="13"/>
      <c r="S34" s="30"/>
      <c r="T34" s="13"/>
      <c r="U34" s="13"/>
      <c r="V34" s="13"/>
      <c r="W34" s="13"/>
    </row>
  </sheetData>
  <conditionalFormatting sqref="B4:W28">
    <cfRule type="cellIs" dxfId="10" priority="2" operator="equal">
      <formula>1</formula>
    </cfRule>
    <cfRule type="cellIs" dxfId="9" priority="3" operator="equal">
      <formula>"IC"</formula>
    </cfRule>
    <cfRule type="cellIs" dxfId="8" priority="4" operator="equal">
      <formula>"M"</formula>
    </cfRule>
  </conditionalFormatting>
  <conditionalFormatting sqref="B31:W33">
    <cfRule type="cellIs" dxfId="7" priority="5" operator="equal">
      <formula>"X"</formula>
    </cfRule>
  </conditionalFormatting>
  <dataValidations count="2">
    <dataValidation type="list" allowBlank="1" sqref="B31:W33" xr:uid="{00000000-0002-0000-0800-000000000000}">
      <formula1>"X"</formula1>
      <formula2>0</formula2>
    </dataValidation>
    <dataValidation type="list" allowBlank="1" sqref="B4:W28" xr:uid="{00000000-0002-0000-0800-000001000000}">
      <formula1>"1,IC,M"</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99"/>
  <sheetViews>
    <sheetView zoomScaleNormal="100" workbookViewId="0">
      <selection activeCell="D26" sqref="D26"/>
    </sheetView>
  </sheetViews>
  <sheetFormatPr baseColWidth="10" defaultColWidth="8.6640625" defaultRowHeight="15"/>
  <cols>
    <col min="1" max="1" width="14" customWidth="1"/>
    <col min="2" max="2" width="12" customWidth="1"/>
    <col min="3" max="3" width="72" customWidth="1"/>
    <col min="4" max="4" width="28" customWidth="1"/>
    <col min="5" max="5" width="40" customWidth="1"/>
  </cols>
  <sheetData>
    <row r="1" spans="1:5" ht="17.25" customHeight="1">
      <c r="A1" s="41" t="s">
        <v>137</v>
      </c>
      <c r="B1" s="40"/>
      <c r="C1" s="40"/>
      <c r="D1" s="40"/>
      <c r="E1" s="40"/>
    </row>
    <row r="3" spans="1:5" ht="15" customHeight="1">
      <c r="A3" s="7" t="s">
        <v>72</v>
      </c>
      <c r="B3" s="7" t="s">
        <v>74</v>
      </c>
      <c r="C3" s="7" t="s">
        <v>76</v>
      </c>
      <c r="D3" s="7" t="s">
        <v>78</v>
      </c>
      <c r="E3" s="7" t="s">
        <v>80</v>
      </c>
    </row>
    <row r="4" spans="1:5" ht="15" customHeight="1">
      <c r="A4" t="s">
        <v>138</v>
      </c>
      <c r="B4" s="4">
        <v>45720</v>
      </c>
      <c r="C4" t="s">
        <v>139</v>
      </c>
      <c r="D4" t="s">
        <v>118</v>
      </c>
    </row>
    <row r="5" spans="1:5" ht="15" customHeight="1">
      <c r="A5" t="s">
        <v>140</v>
      </c>
      <c r="B5" s="4">
        <v>45734</v>
      </c>
      <c r="C5" t="s">
        <v>141</v>
      </c>
      <c r="D5" t="s">
        <v>17</v>
      </c>
    </row>
    <row r="6" spans="1:5" ht="15" customHeight="1">
      <c r="A6" t="s">
        <v>142</v>
      </c>
      <c r="B6" s="4">
        <v>45783</v>
      </c>
      <c r="C6" t="s">
        <v>143</v>
      </c>
      <c r="D6" t="s">
        <v>118</v>
      </c>
    </row>
    <row r="7" spans="1:5" ht="15" customHeight="1">
      <c r="A7" t="s">
        <v>144</v>
      </c>
      <c r="B7" s="4">
        <v>45792</v>
      </c>
      <c r="C7" t="s">
        <v>145</v>
      </c>
      <c r="D7" t="s">
        <v>118</v>
      </c>
    </row>
    <row r="8" spans="1:5" ht="15" customHeight="1">
      <c r="A8" t="s">
        <v>146</v>
      </c>
      <c r="B8" s="4">
        <v>45839</v>
      </c>
      <c r="C8" t="s">
        <v>147</v>
      </c>
      <c r="D8" t="s">
        <v>21</v>
      </c>
    </row>
    <row r="9" spans="1:5" ht="15" customHeight="1">
      <c r="A9" t="s">
        <v>148</v>
      </c>
      <c r="B9" s="4">
        <v>45869</v>
      </c>
      <c r="C9" t="s">
        <v>149</v>
      </c>
      <c r="D9" t="s">
        <v>118</v>
      </c>
    </row>
    <row r="10" spans="1:5" ht="15" customHeight="1">
      <c r="A10" t="s">
        <v>150</v>
      </c>
      <c r="B10" s="4">
        <v>45923</v>
      </c>
      <c r="C10" t="s">
        <v>151</v>
      </c>
      <c r="D10" t="s">
        <v>118</v>
      </c>
    </row>
    <row r="11" spans="1:5" ht="15" customHeight="1">
      <c r="A11" t="s">
        <v>152</v>
      </c>
      <c r="B11" s="4">
        <v>45951</v>
      </c>
      <c r="C11" t="s">
        <v>153</v>
      </c>
      <c r="D11" t="s">
        <v>118</v>
      </c>
    </row>
    <row r="12" spans="1:5" ht="15" customHeight="1">
      <c r="A12" t="s">
        <v>154</v>
      </c>
      <c r="B12" s="4">
        <v>45993</v>
      </c>
      <c r="C12" t="s">
        <v>155</v>
      </c>
      <c r="D12" t="s">
        <v>156</v>
      </c>
    </row>
    <row r="13" spans="1:5" ht="15" customHeight="1">
      <c r="A13" t="s">
        <v>157</v>
      </c>
      <c r="B13" s="4">
        <v>46044</v>
      </c>
      <c r="C13" t="s">
        <v>155</v>
      </c>
      <c r="D13" t="s">
        <v>12</v>
      </c>
    </row>
    <row r="14" spans="1:5" ht="15" customHeight="1">
      <c r="A14" t="s">
        <v>158</v>
      </c>
      <c r="B14" s="4">
        <v>46049</v>
      </c>
      <c r="C14" t="s">
        <v>159</v>
      </c>
      <c r="D14" t="s">
        <v>118</v>
      </c>
    </row>
    <row r="15" spans="1:5" ht="15" customHeight="1">
      <c r="A15" t="s">
        <v>160</v>
      </c>
      <c r="B15" s="4">
        <v>46063</v>
      </c>
      <c r="C15" t="s">
        <v>147</v>
      </c>
      <c r="D15" t="s">
        <v>21</v>
      </c>
    </row>
    <row r="16" spans="1:5" ht="15" customHeight="1">
      <c r="A16" t="s">
        <v>161</v>
      </c>
      <c r="B16" s="4">
        <v>46077</v>
      </c>
      <c r="C16" t="s">
        <v>162</v>
      </c>
      <c r="D16" t="s">
        <v>12</v>
      </c>
    </row>
    <row r="17" spans="1:4" ht="15" customHeight="1">
      <c r="A17" t="s">
        <v>163</v>
      </c>
      <c r="B17" s="4">
        <v>46098</v>
      </c>
      <c r="C17" t="s">
        <v>164</v>
      </c>
      <c r="D17" t="s">
        <v>16</v>
      </c>
    </row>
    <row r="18" spans="1:4" ht="15" customHeight="1">
      <c r="A18" t="s">
        <v>165</v>
      </c>
      <c r="B18" s="4">
        <v>46105</v>
      </c>
      <c r="C18" t="s">
        <v>166</v>
      </c>
      <c r="D18" t="s">
        <v>118</v>
      </c>
    </row>
    <row r="19" spans="1:4" ht="15" customHeight="1">
      <c r="A19" t="s">
        <v>167</v>
      </c>
      <c r="B19" s="4">
        <v>46119</v>
      </c>
      <c r="C19" t="s">
        <v>168</v>
      </c>
      <c r="D19" t="s">
        <v>24</v>
      </c>
    </row>
    <row r="20" spans="1:4" ht="15" customHeight="1">
      <c r="A20" t="s">
        <v>169</v>
      </c>
      <c r="B20" s="4">
        <v>46140</v>
      </c>
      <c r="C20" t="s">
        <v>170</v>
      </c>
      <c r="D20" t="s">
        <v>171</v>
      </c>
    </row>
    <row r="21" spans="1:4" ht="15" customHeight="1">
      <c r="A21" t="s">
        <v>172</v>
      </c>
      <c r="B21" s="4">
        <v>46161</v>
      </c>
      <c r="C21" t="s">
        <v>173</v>
      </c>
      <c r="D21" t="s">
        <v>21</v>
      </c>
    </row>
    <row r="22" spans="1:4" ht="15" customHeight="1">
      <c r="A22" t="s">
        <v>174</v>
      </c>
      <c r="B22" s="4">
        <v>46203</v>
      </c>
      <c r="C22" t="s">
        <v>175</v>
      </c>
      <c r="D22" t="s">
        <v>176</v>
      </c>
    </row>
    <row r="23" spans="1:4" ht="15" customHeight="1">
      <c r="A23" t="s">
        <v>177</v>
      </c>
      <c r="B23" s="4">
        <v>46210</v>
      </c>
      <c r="C23" t="s">
        <v>178</v>
      </c>
      <c r="D23" t="s">
        <v>12</v>
      </c>
    </row>
    <row r="24" spans="1:4" ht="15" customHeight="1">
      <c r="B24" s="4"/>
    </row>
    <row r="25" spans="1:4" ht="15" customHeight="1">
      <c r="B25" s="4"/>
    </row>
    <row r="26" spans="1:4" ht="15" customHeight="1">
      <c r="B26" s="4"/>
    </row>
    <row r="27" spans="1:4" ht="15" customHeight="1">
      <c r="B27" s="4"/>
    </row>
    <row r="28" spans="1:4" ht="15" customHeight="1">
      <c r="B28" s="4"/>
    </row>
    <row r="29" spans="1:4" ht="15" customHeight="1">
      <c r="B29" s="4"/>
    </row>
    <row r="30" spans="1:4" ht="15" customHeight="1">
      <c r="B30" s="4"/>
    </row>
    <row r="31" spans="1:4" ht="15" customHeight="1">
      <c r="B31" s="4"/>
    </row>
    <row r="32" spans="1:4" ht="15" customHeight="1">
      <c r="B32" s="4"/>
    </row>
    <row r="33" spans="2:2" ht="15" customHeight="1">
      <c r="B33" s="4"/>
    </row>
    <row r="34" spans="2:2" ht="15" customHeight="1">
      <c r="B34" s="4"/>
    </row>
    <row r="35" spans="2:2" ht="15" customHeight="1">
      <c r="B35" s="4"/>
    </row>
    <row r="36" spans="2:2" ht="15" customHeight="1">
      <c r="B36" s="4"/>
    </row>
    <row r="37" spans="2:2" ht="15" customHeight="1">
      <c r="B37" s="4"/>
    </row>
    <row r="38" spans="2:2" ht="15" customHeight="1">
      <c r="B38" s="4"/>
    </row>
    <row r="39" spans="2:2" ht="15" customHeight="1">
      <c r="B39" s="4"/>
    </row>
    <row r="40" spans="2:2" ht="15" customHeight="1">
      <c r="B40" s="4"/>
    </row>
    <row r="41" spans="2:2" ht="15" customHeight="1">
      <c r="B41" s="4"/>
    </row>
    <row r="42" spans="2:2" ht="15" customHeight="1">
      <c r="B42" s="4"/>
    </row>
    <row r="43" spans="2:2" ht="15" customHeight="1">
      <c r="B43" s="4"/>
    </row>
    <row r="44" spans="2:2" ht="15" customHeight="1">
      <c r="B44" s="4"/>
    </row>
    <row r="45" spans="2:2" ht="15" customHeight="1">
      <c r="B45" s="4"/>
    </row>
    <row r="46" spans="2:2" ht="15" customHeight="1">
      <c r="B46" s="4"/>
    </row>
    <row r="47" spans="2:2" ht="15" customHeight="1">
      <c r="B47" s="4"/>
    </row>
    <row r="48" spans="2:2" ht="15" customHeight="1">
      <c r="B48" s="4"/>
    </row>
    <row r="49" spans="2:2" ht="15" customHeight="1">
      <c r="B49" s="4"/>
    </row>
    <row r="50" spans="2:2" ht="15" customHeight="1">
      <c r="B50" s="4"/>
    </row>
    <row r="51" spans="2:2" ht="15" customHeight="1">
      <c r="B51" s="4"/>
    </row>
    <row r="52" spans="2:2" ht="15" customHeight="1">
      <c r="B52" s="4"/>
    </row>
    <row r="53" spans="2:2" ht="15" customHeight="1">
      <c r="B53" s="4"/>
    </row>
    <row r="54" spans="2:2" ht="15" customHeight="1">
      <c r="B54" s="4"/>
    </row>
    <row r="55" spans="2:2" ht="15" customHeight="1">
      <c r="B55" s="4"/>
    </row>
    <row r="56" spans="2:2" ht="15" customHeight="1">
      <c r="B56" s="4"/>
    </row>
    <row r="57" spans="2:2" ht="15" customHeight="1">
      <c r="B57" s="4"/>
    </row>
    <row r="58" spans="2:2" ht="15" customHeight="1">
      <c r="B58" s="4"/>
    </row>
    <row r="59" spans="2:2" ht="15" customHeight="1">
      <c r="B59" s="4"/>
    </row>
    <row r="60" spans="2:2" ht="15" customHeight="1">
      <c r="B60" s="4"/>
    </row>
    <row r="61" spans="2:2" ht="15" customHeight="1">
      <c r="B61" s="4"/>
    </row>
    <row r="62" spans="2:2" ht="15" customHeight="1">
      <c r="B62" s="4"/>
    </row>
    <row r="63" spans="2:2" ht="15" customHeight="1">
      <c r="B63" s="4"/>
    </row>
    <row r="64" spans="2:2" ht="15" customHeight="1">
      <c r="B64" s="4"/>
    </row>
    <row r="65" spans="2:2" ht="15" customHeight="1">
      <c r="B65" s="4"/>
    </row>
    <row r="66" spans="2:2" ht="15" customHeight="1">
      <c r="B66" s="4"/>
    </row>
    <row r="67" spans="2:2" ht="15" customHeight="1">
      <c r="B67" s="4"/>
    </row>
    <row r="68" spans="2:2" ht="15" customHeight="1">
      <c r="B68" s="4"/>
    </row>
    <row r="69" spans="2:2" ht="15" customHeight="1">
      <c r="B69" s="4"/>
    </row>
    <row r="70" spans="2:2" ht="15" customHeight="1">
      <c r="B70" s="4"/>
    </row>
    <row r="71" spans="2:2" ht="15" customHeight="1">
      <c r="B71" s="4"/>
    </row>
    <row r="72" spans="2:2" ht="15" customHeight="1">
      <c r="B72" s="4"/>
    </row>
    <row r="73" spans="2:2" ht="15" customHeight="1">
      <c r="B73" s="4"/>
    </row>
    <row r="74" spans="2:2" ht="15" customHeight="1">
      <c r="B74" s="4"/>
    </row>
    <row r="75" spans="2:2" ht="15" customHeight="1">
      <c r="B75" s="4"/>
    </row>
    <row r="76" spans="2:2" ht="15" customHeight="1">
      <c r="B76" s="4"/>
    </row>
    <row r="77" spans="2:2" ht="15" customHeight="1">
      <c r="B77" s="4"/>
    </row>
    <row r="78" spans="2:2" ht="15" customHeight="1">
      <c r="B78" s="4"/>
    </row>
    <row r="79" spans="2:2" ht="15" customHeight="1">
      <c r="B79" s="4"/>
    </row>
    <row r="80" spans="2:2" ht="15" customHeight="1">
      <c r="B80" s="4"/>
    </row>
    <row r="81" spans="2:2" ht="15" customHeight="1">
      <c r="B81" s="4"/>
    </row>
    <row r="82" spans="2:2" ht="15" customHeight="1">
      <c r="B82" s="4"/>
    </row>
    <row r="83" spans="2:2" ht="15" customHeight="1">
      <c r="B83" s="4"/>
    </row>
    <row r="84" spans="2:2" ht="15" customHeight="1">
      <c r="B84" s="4"/>
    </row>
    <row r="85" spans="2:2" ht="15" customHeight="1">
      <c r="B85" s="4"/>
    </row>
    <row r="86" spans="2:2" ht="15" customHeight="1">
      <c r="B86" s="4"/>
    </row>
    <row r="87" spans="2:2" ht="15" customHeight="1">
      <c r="B87" s="4"/>
    </row>
    <row r="88" spans="2:2" ht="15" customHeight="1">
      <c r="B88" s="4"/>
    </row>
    <row r="89" spans="2:2" ht="15" customHeight="1">
      <c r="B89" s="4"/>
    </row>
    <row r="90" spans="2:2" ht="15" customHeight="1">
      <c r="B90" s="4"/>
    </row>
    <row r="91" spans="2:2" ht="15" customHeight="1">
      <c r="B91" s="4"/>
    </row>
    <row r="92" spans="2:2" ht="15" customHeight="1">
      <c r="B92" s="4"/>
    </row>
    <row r="93" spans="2:2" ht="15" customHeight="1">
      <c r="B93" s="4"/>
    </row>
    <row r="94" spans="2:2" ht="15" customHeight="1">
      <c r="B94" s="4"/>
    </row>
    <row r="95" spans="2:2" ht="15" customHeight="1">
      <c r="B95" s="4"/>
    </row>
    <row r="96" spans="2:2" ht="15" customHeight="1">
      <c r="B96" s="4"/>
    </row>
    <row r="97" spans="2:2" ht="15" customHeight="1">
      <c r="B97" s="4"/>
    </row>
    <row r="98" spans="2:2" ht="15" customHeight="1">
      <c r="B98" s="4"/>
    </row>
    <row r="99" spans="2:2" ht="15" customHeight="1">
      <c r="B99" s="4"/>
    </row>
  </sheetData>
  <mergeCells count="1">
    <mergeCell ref="A1:E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37"/>
  <sheetViews>
    <sheetView tabSelected="1" zoomScaleNormal="100" workbookViewId="0">
      <pane xSplit="1" ySplit="3" topLeftCell="B4" activePane="bottomRight" state="frozen"/>
      <selection activeCell="T25" sqref="T25"/>
      <selection pane="topRight" activeCell="T25" sqref="T25"/>
      <selection pane="bottomLeft" activeCell="T25" sqref="T25"/>
      <selection pane="bottomRight" activeCell="T25" sqref="T25"/>
    </sheetView>
  </sheetViews>
  <sheetFormatPr baseColWidth="10" defaultColWidth="8.6640625" defaultRowHeight="15"/>
  <cols>
    <col min="1" max="1" width="26" customWidth="1"/>
    <col min="2" max="2" width="10" customWidth="1"/>
    <col min="3" max="26" width="13" customWidth="1"/>
  </cols>
  <sheetData>
    <row r="1" spans="1:27" ht="17.25" customHeight="1">
      <c r="A1" s="41" t="s">
        <v>179</v>
      </c>
      <c r="B1" s="40"/>
      <c r="C1" s="40"/>
      <c r="D1" s="40"/>
      <c r="E1" s="40"/>
      <c r="F1" s="40"/>
      <c r="G1" s="40"/>
      <c r="H1" s="40"/>
      <c r="I1" s="40"/>
      <c r="J1" s="40"/>
      <c r="K1" s="40"/>
      <c r="L1" s="40"/>
      <c r="M1" s="40"/>
      <c r="N1" s="40"/>
      <c r="O1" s="40"/>
      <c r="P1" s="40"/>
      <c r="Q1" s="40"/>
      <c r="R1" s="40"/>
      <c r="S1" s="40"/>
      <c r="T1" s="40"/>
      <c r="U1" s="40"/>
      <c r="V1" s="40"/>
      <c r="W1" s="40"/>
      <c r="X1" s="40"/>
      <c r="Y1" s="40"/>
      <c r="Z1" s="40"/>
      <c r="AA1" s="40"/>
    </row>
    <row r="3" spans="1:27" ht="15" customHeight="1">
      <c r="A3" s="7" t="s">
        <v>1</v>
      </c>
      <c r="B3" s="7" t="s">
        <v>2</v>
      </c>
      <c r="C3" s="7" t="s">
        <v>138</v>
      </c>
      <c r="D3" s="7" t="s">
        <v>140</v>
      </c>
      <c r="E3" s="7" t="s">
        <v>142</v>
      </c>
      <c r="F3" s="7" t="s">
        <v>144</v>
      </c>
      <c r="G3" s="7" t="s">
        <v>146</v>
      </c>
      <c r="H3" s="7" t="s">
        <v>148</v>
      </c>
      <c r="I3" s="7" t="s">
        <v>150</v>
      </c>
      <c r="J3" s="7" t="s">
        <v>152</v>
      </c>
      <c r="K3" s="7" t="s">
        <v>154</v>
      </c>
      <c r="L3" s="7" t="s">
        <v>157</v>
      </c>
      <c r="M3" s="7" t="s">
        <v>158</v>
      </c>
      <c r="N3" s="7" t="s">
        <v>160</v>
      </c>
      <c r="O3" s="7" t="s">
        <v>161</v>
      </c>
      <c r="P3" s="7" t="s">
        <v>163</v>
      </c>
      <c r="Q3" s="7" t="s">
        <v>165</v>
      </c>
      <c r="R3" s="7" t="s">
        <v>167</v>
      </c>
      <c r="S3" s="7" t="s">
        <v>169</v>
      </c>
      <c r="T3" s="7" t="s">
        <v>172</v>
      </c>
      <c r="U3" s="34" t="s">
        <v>174</v>
      </c>
      <c r="V3" s="34" t="s">
        <v>177</v>
      </c>
    </row>
    <row r="4" spans="1:27" ht="15" customHeight="1">
      <c r="A4" s="12" t="s">
        <v>4</v>
      </c>
      <c r="B4" s="16">
        <f t="shared" ref="B4:B37" si="0">COUNTIF(C4:XFD4,"P")+COUNTIF(C4:XFD4,"F")</f>
        <v>4</v>
      </c>
      <c r="O4" t="s">
        <v>66</v>
      </c>
      <c r="P4" t="s">
        <v>66</v>
      </c>
      <c r="T4" t="s">
        <v>66</v>
      </c>
      <c r="V4" t="s">
        <v>66</v>
      </c>
    </row>
    <row r="5" spans="1:27" ht="15" customHeight="1">
      <c r="A5" s="12" t="s">
        <v>5</v>
      </c>
      <c r="B5" s="16">
        <f t="shared" si="0"/>
        <v>2</v>
      </c>
      <c r="R5" t="s">
        <v>66</v>
      </c>
      <c r="S5" t="s">
        <v>66</v>
      </c>
    </row>
    <row r="6" spans="1:27" ht="15" customHeight="1">
      <c r="A6" s="12" t="s">
        <v>7</v>
      </c>
      <c r="B6" s="16">
        <f t="shared" si="0"/>
        <v>3</v>
      </c>
      <c r="F6" t="s">
        <v>66</v>
      </c>
      <c r="H6" t="s">
        <v>66</v>
      </c>
      <c r="S6" t="s">
        <v>63</v>
      </c>
    </row>
    <row r="7" spans="1:27" ht="15" customHeight="1">
      <c r="A7" s="12" t="s">
        <v>8</v>
      </c>
      <c r="B7" s="16">
        <f t="shared" si="0"/>
        <v>11</v>
      </c>
      <c r="D7" t="s">
        <v>66</v>
      </c>
      <c r="E7" t="s">
        <v>66</v>
      </c>
      <c r="G7" t="s">
        <v>66</v>
      </c>
      <c r="H7" t="s">
        <v>66</v>
      </c>
      <c r="I7" t="s">
        <v>66</v>
      </c>
      <c r="K7" t="s">
        <v>66</v>
      </c>
      <c r="M7" t="s">
        <v>66</v>
      </c>
      <c r="O7" t="s">
        <v>66</v>
      </c>
      <c r="P7" t="s">
        <v>66</v>
      </c>
      <c r="T7" t="s">
        <v>66</v>
      </c>
      <c r="U7" t="s">
        <v>66</v>
      </c>
    </row>
    <row r="8" spans="1:27" ht="15" customHeight="1">
      <c r="A8" s="12" t="s">
        <v>11</v>
      </c>
      <c r="B8" s="16">
        <f t="shared" si="0"/>
        <v>4</v>
      </c>
      <c r="D8" t="s">
        <v>66</v>
      </c>
      <c r="E8" t="s">
        <v>66</v>
      </c>
      <c r="K8" t="s">
        <v>66</v>
      </c>
      <c r="R8" t="s">
        <v>66</v>
      </c>
    </row>
    <row r="9" spans="1:27" ht="15" customHeight="1">
      <c r="A9" s="12" t="s">
        <v>12</v>
      </c>
      <c r="B9" s="16">
        <f t="shared" si="0"/>
        <v>13</v>
      </c>
      <c r="C9" t="s">
        <v>66</v>
      </c>
      <c r="F9" t="s">
        <v>66</v>
      </c>
      <c r="I9" t="s">
        <v>66</v>
      </c>
      <c r="J9" t="s">
        <v>66</v>
      </c>
      <c r="K9" t="s">
        <v>63</v>
      </c>
      <c r="L9" t="s">
        <v>63</v>
      </c>
      <c r="M9" t="s">
        <v>66</v>
      </c>
      <c r="N9" t="s">
        <v>66</v>
      </c>
      <c r="O9" t="s">
        <v>63</v>
      </c>
      <c r="P9" t="s">
        <v>66</v>
      </c>
      <c r="T9" t="s">
        <v>66</v>
      </c>
      <c r="U9" t="s">
        <v>66</v>
      </c>
      <c r="V9" t="s">
        <v>63</v>
      </c>
    </row>
    <row r="10" spans="1:27" ht="15" customHeight="1">
      <c r="A10" s="12" t="s">
        <v>13</v>
      </c>
      <c r="B10" s="16">
        <f t="shared" si="0"/>
        <v>1</v>
      </c>
      <c r="U10" t="s">
        <v>63</v>
      </c>
    </row>
    <row r="11" spans="1:27" ht="15" customHeight="1">
      <c r="A11" s="12" t="s">
        <v>14</v>
      </c>
      <c r="B11" s="16">
        <f t="shared" si="0"/>
        <v>3</v>
      </c>
      <c r="L11" t="s">
        <v>66</v>
      </c>
      <c r="O11" t="s">
        <v>66</v>
      </c>
      <c r="S11" t="s">
        <v>66</v>
      </c>
    </row>
    <row r="12" spans="1:27" ht="15" customHeight="1">
      <c r="A12" s="12" t="s">
        <v>15</v>
      </c>
      <c r="B12" s="16">
        <f t="shared" si="0"/>
        <v>3</v>
      </c>
      <c r="R12" t="s">
        <v>66</v>
      </c>
      <c r="T12" t="s">
        <v>66</v>
      </c>
      <c r="V12" t="s">
        <v>66</v>
      </c>
    </row>
    <row r="13" spans="1:27" ht="15" customHeight="1">
      <c r="A13" s="12" t="s">
        <v>16</v>
      </c>
      <c r="B13" s="16">
        <f t="shared" si="0"/>
        <v>5</v>
      </c>
      <c r="K13" t="s">
        <v>66</v>
      </c>
      <c r="P13" t="s">
        <v>63</v>
      </c>
      <c r="S13" t="s">
        <v>63</v>
      </c>
      <c r="U13" t="s">
        <v>63</v>
      </c>
      <c r="V13" t="s">
        <v>66</v>
      </c>
    </row>
    <row r="14" spans="1:27" ht="15" customHeight="1">
      <c r="A14" s="12" t="s">
        <v>17</v>
      </c>
      <c r="B14" s="16">
        <f t="shared" si="0"/>
        <v>7</v>
      </c>
      <c r="C14" t="s">
        <v>66</v>
      </c>
      <c r="D14" t="s">
        <v>63</v>
      </c>
      <c r="F14" t="s">
        <v>66</v>
      </c>
      <c r="G14" t="s">
        <v>66</v>
      </c>
      <c r="I14" t="s">
        <v>66</v>
      </c>
      <c r="S14" t="s">
        <v>66</v>
      </c>
      <c r="U14" t="s">
        <v>66</v>
      </c>
    </row>
    <row r="15" spans="1:27" ht="15" customHeight="1">
      <c r="A15" s="12" t="s">
        <v>18</v>
      </c>
      <c r="B15" s="16">
        <f t="shared" si="0"/>
        <v>8</v>
      </c>
      <c r="K15" t="s">
        <v>66</v>
      </c>
      <c r="M15" t="s">
        <v>66</v>
      </c>
      <c r="N15" t="s">
        <v>66</v>
      </c>
      <c r="O15" t="s">
        <v>66</v>
      </c>
      <c r="P15" t="s">
        <v>66</v>
      </c>
      <c r="T15" t="s">
        <v>66</v>
      </c>
      <c r="U15" t="s">
        <v>66</v>
      </c>
      <c r="V15" t="s">
        <v>66</v>
      </c>
    </row>
    <row r="16" spans="1:27" ht="15" customHeight="1">
      <c r="A16" s="12" t="s">
        <v>20</v>
      </c>
      <c r="B16" s="16">
        <f t="shared" si="0"/>
        <v>6</v>
      </c>
      <c r="J16" t="s">
        <v>66</v>
      </c>
      <c r="K16" t="s">
        <v>66</v>
      </c>
      <c r="N16" t="s">
        <v>66</v>
      </c>
      <c r="R16" t="s">
        <v>66</v>
      </c>
      <c r="U16" t="s">
        <v>66</v>
      </c>
      <c r="V16" t="s">
        <v>66</v>
      </c>
    </row>
    <row r="17" spans="1:22" ht="15" customHeight="1">
      <c r="A17" s="12" t="s">
        <v>21</v>
      </c>
      <c r="B17" s="16">
        <f t="shared" si="0"/>
        <v>9</v>
      </c>
      <c r="D17" t="s">
        <v>66</v>
      </c>
      <c r="E17" t="s">
        <v>66</v>
      </c>
      <c r="G17" t="s">
        <v>63</v>
      </c>
      <c r="J17" t="s">
        <v>66</v>
      </c>
      <c r="K17" t="s">
        <v>66</v>
      </c>
      <c r="N17" t="s">
        <v>63</v>
      </c>
      <c r="R17" t="s">
        <v>66</v>
      </c>
      <c r="S17" t="s">
        <v>66</v>
      </c>
      <c r="T17" t="s">
        <v>63</v>
      </c>
    </row>
    <row r="18" spans="1:22" ht="15" customHeight="1">
      <c r="A18" s="12" t="s">
        <v>118</v>
      </c>
      <c r="B18" s="16">
        <f t="shared" si="0"/>
        <v>16</v>
      </c>
      <c r="C18" t="s">
        <v>63</v>
      </c>
      <c r="D18" t="s">
        <v>66</v>
      </c>
      <c r="E18" t="s">
        <v>63</v>
      </c>
      <c r="F18" t="s">
        <v>63</v>
      </c>
      <c r="G18" t="s">
        <v>66</v>
      </c>
      <c r="H18" t="s">
        <v>63</v>
      </c>
      <c r="I18" t="s">
        <v>63</v>
      </c>
      <c r="J18" t="s">
        <v>63</v>
      </c>
      <c r="L18" t="s">
        <v>66</v>
      </c>
      <c r="M18" t="s">
        <v>63</v>
      </c>
      <c r="O18" t="s">
        <v>66</v>
      </c>
      <c r="Q18" t="s">
        <v>63</v>
      </c>
      <c r="R18" t="s">
        <v>66</v>
      </c>
      <c r="S18" t="s">
        <v>66</v>
      </c>
      <c r="T18" t="s">
        <v>66</v>
      </c>
      <c r="U18" t="s">
        <v>66</v>
      </c>
    </row>
    <row r="19" spans="1:22" ht="15" customHeight="1">
      <c r="A19" s="12" t="s">
        <v>22</v>
      </c>
      <c r="B19" s="16">
        <f t="shared" si="0"/>
        <v>6</v>
      </c>
      <c r="C19" t="s">
        <v>66</v>
      </c>
      <c r="E19" t="s">
        <v>66</v>
      </c>
      <c r="H19" t="s">
        <v>66</v>
      </c>
      <c r="O19" t="s">
        <v>66</v>
      </c>
      <c r="S19" t="s">
        <v>66</v>
      </c>
      <c r="V19" t="s">
        <v>66</v>
      </c>
    </row>
    <row r="20" spans="1:22" ht="15" customHeight="1">
      <c r="A20" s="12" t="s">
        <v>23</v>
      </c>
      <c r="B20" s="16">
        <f t="shared" si="0"/>
        <v>4</v>
      </c>
      <c r="C20" t="s">
        <v>66</v>
      </c>
      <c r="I20" t="s">
        <v>66</v>
      </c>
      <c r="N20" t="s">
        <v>66</v>
      </c>
      <c r="P20" t="s">
        <v>66</v>
      </c>
    </row>
    <row r="21" spans="1:22" ht="15" customHeight="1">
      <c r="A21" s="12" t="s">
        <v>24</v>
      </c>
      <c r="B21" s="16">
        <f t="shared" si="0"/>
        <v>5</v>
      </c>
      <c r="E21" t="s">
        <v>66</v>
      </c>
      <c r="F21" t="s">
        <v>66</v>
      </c>
      <c r="J21" t="s">
        <v>66</v>
      </c>
      <c r="K21" t="s">
        <v>63</v>
      </c>
      <c r="R21" t="s">
        <v>63</v>
      </c>
    </row>
    <row r="22" spans="1:22" ht="15" customHeight="1">
      <c r="A22" s="12" t="s">
        <v>25</v>
      </c>
      <c r="B22" s="16">
        <f t="shared" si="0"/>
        <v>3</v>
      </c>
      <c r="Q22" t="s">
        <v>66</v>
      </c>
      <c r="U22" t="s">
        <v>66</v>
      </c>
      <c r="V22" t="s">
        <v>66</v>
      </c>
    </row>
    <row r="23" spans="1:22" ht="15" customHeight="1">
      <c r="A23" s="12" t="s">
        <v>26</v>
      </c>
      <c r="B23" s="16">
        <f t="shared" si="0"/>
        <v>6</v>
      </c>
      <c r="D23" t="s">
        <v>66</v>
      </c>
      <c r="E23" t="s">
        <v>66</v>
      </c>
      <c r="F23" t="s">
        <v>66</v>
      </c>
      <c r="G23" t="s">
        <v>66</v>
      </c>
      <c r="H23" t="s">
        <v>66</v>
      </c>
      <c r="I23" t="s">
        <v>66</v>
      </c>
    </row>
    <row r="24" spans="1:22" ht="15" customHeight="1">
      <c r="A24" s="12" t="s">
        <v>27</v>
      </c>
      <c r="B24" s="16">
        <f t="shared" si="0"/>
        <v>2</v>
      </c>
      <c r="S24" t="s">
        <v>66</v>
      </c>
      <c r="U24" t="s">
        <v>66</v>
      </c>
    </row>
    <row r="25" spans="1:22" ht="15" customHeight="1">
      <c r="A25" s="12" t="s">
        <v>28</v>
      </c>
      <c r="B25" s="16">
        <f t="shared" si="0"/>
        <v>8</v>
      </c>
      <c r="K25" t="s">
        <v>66</v>
      </c>
      <c r="M25" t="s">
        <v>66</v>
      </c>
      <c r="N25" t="s">
        <v>66</v>
      </c>
      <c r="O25" t="s">
        <v>66</v>
      </c>
      <c r="P25" t="s">
        <v>66</v>
      </c>
      <c r="Q25" t="s">
        <v>66</v>
      </c>
      <c r="T25" t="s">
        <v>66</v>
      </c>
      <c r="V25" t="s">
        <v>66</v>
      </c>
    </row>
    <row r="26" spans="1:22" ht="15" customHeight="1">
      <c r="A26" s="12" t="s">
        <v>29</v>
      </c>
      <c r="B26" s="16">
        <f t="shared" si="0"/>
        <v>9</v>
      </c>
      <c r="C26" t="s">
        <v>66</v>
      </c>
      <c r="E26" t="s">
        <v>66</v>
      </c>
      <c r="H26" t="s">
        <v>66</v>
      </c>
      <c r="J26" t="s">
        <v>66</v>
      </c>
      <c r="K26" t="s">
        <v>66</v>
      </c>
      <c r="N26" t="s">
        <v>66</v>
      </c>
      <c r="O26" t="s">
        <v>66</v>
      </c>
      <c r="P26" t="s">
        <v>66</v>
      </c>
      <c r="Q26" t="s">
        <v>66</v>
      </c>
    </row>
    <row r="27" spans="1:22" ht="15" customHeight="1">
      <c r="A27" s="35" t="s">
        <v>112</v>
      </c>
      <c r="B27" s="16">
        <f t="shared" si="0"/>
        <v>1</v>
      </c>
      <c r="H27" t="s">
        <v>66</v>
      </c>
    </row>
    <row r="28" spans="1:22" ht="15" customHeight="1">
      <c r="A28" s="35" t="s">
        <v>115</v>
      </c>
      <c r="B28" s="16">
        <f t="shared" si="0"/>
        <v>1</v>
      </c>
      <c r="D28" t="s">
        <v>66</v>
      </c>
    </row>
    <row r="29" spans="1:22" ht="15" customHeight="1">
      <c r="A29" s="35" t="s">
        <v>9</v>
      </c>
      <c r="B29" s="16">
        <f t="shared" si="0"/>
        <v>2</v>
      </c>
      <c r="U29" t="s">
        <v>66</v>
      </c>
      <c r="V29" t="s">
        <v>66</v>
      </c>
    </row>
    <row r="30" spans="1:22" ht="15" customHeight="1">
      <c r="A30" s="35" t="s">
        <v>10</v>
      </c>
      <c r="B30" s="16">
        <f t="shared" si="0"/>
        <v>8</v>
      </c>
      <c r="M30" t="s">
        <v>66</v>
      </c>
      <c r="N30" t="s">
        <v>66</v>
      </c>
      <c r="O30" t="s">
        <v>66</v>
      </c>
      <c r="P30" t="s">
        <v>66</v>
      </c>
      <c r="Q30" t="s">
        <v>66</v>
      </c>
      <c r="R30" t="s">
        <v>66</v>
      </c>
      <c r="S30" t="s">
        <v>66</v>
      </c>
      <c r="T30" t="s">
        <v>66</v>
      </c>
    </row>
    <row r="31" spans="1:22" ht="15" customHeight="1">
      <c r="A31" s="35" t="s">
        <v>113</v>
      </c>
      <c r="B31" s="16">
        <f t="shared" si="0"/>
        <v>2</v>
      </c>
      <c r="C31" t="s">
        <v>66</v>
      </c>
      <c r="H31" t="s">
        <v>66</v>
      </c>
    </row>
    <row r="32" spans="1:22" ht="15" customHeight="1">
      <c r="A32" s="35" t="s">
        <v>19</v>
      </c>
      <c r="B32" s="16">
        <f t="shared" si="0"/>
        <v>5</v>
      </c>
      <c r="E32" t="s">
        <v>66</v>
      </c>
      <c r="F32" t="s">
        <v>66</v>
      </c>
      <c r="M32" t="s">
        <v>66</v>
      </c>
      <c r="R32" t="s">
        <v>66</v>
      </c>
      <c r="U32" t="s">
        <v>66</v>
      </c>
    </row>
    <row r="33" spans="1:16" ht="15" customHeight="1">
      <c r="A33" s="35" t="s">
        <v>110</v>
      </c>
      <c r="B33" s="16">
        <f t="shared" si="0"/>
        <v>5</v>
      </c>
      <c r="J33" t="s">
        <v>66</v>
      </c>
      <c r="M33" t="s">
        <v>66</v>
      </c>
      <c r="N33" t="s">
        <v>66</v>
      </c>
      <c r="O33" t="s">
        <v>66</v>
      </c>
      <c r="P33" t="s">
        <v>66</v>
      </c>
    </row>
    <row r="34" spans="1:16" ht="15" customHeight="1">
      <c r="A34" s="35" t="s">
        <v>116</v>
      </c>
      <c r="B34" s="16">
        <f t="shared" si="0"/>
        <v>1</v>
      </c>
      <c r="H34" t="s">
        <v>66</v>
      </c>
    </row>
    <row r="35" spans="1:16" ht="15" customHeight="1">
      <c r="A35" s="35" t="s">
        <v>117</v>
      </c>
      <c r="B35" s="16">
        <f t="shared" si="0"/>
        <v>2</v>
      </c>
      <c r="E35" t="s">
        <v>66</v>
      </c>
      <c r="H35" t="s">
        <v>66</v>
      </c>
    </row>
    <row r="36" spans="1:16" ht="15" customHeight="1">
      <c r="A36" s="35" t="s">
        <v>114</v>
      </c>
      <c r="B36" s="16">
        <f t="shared" si="0"/>
        <v>1</v>
      </c>
      <c r="D36" t="s">
        <v>66</v>
      </c>
    </row>
    <row r="37" spans="1:16" ht="15" customHeight="1">
      <c r="A37" s="35" t="s">
        <v>111</v>
      </c>
      <c r="B37" s="16">
        <f t="shared" si="0"/>
        <v>1</v>
      </c>
      <c r="L37" t="s">
        <v>66</v>
      </c>
    </row>
  </sheetData>
  <mergeCells count="1">
    <mergeCell ref="A1:AA1"/>
  </mergeCells>
  <conditionalFormatting sqref="C4:Z37">
    <cfRule type="cellIs" dxfId="6" priority="2" operator="equal">
      <formula>"F"</formula>
    </cfRule>
    <cfRule type="cellIs" dxfId="5" priority="3" operator="equal">
      <formula>"P"</formula>
    </cfRule>
  </conditionalFormatting>
  <dataValidations count="1">
    <dataValidation type="list" allowBlank="1" sqref="C4:Z37" xr:uid="{00000000-0002-0000-0A00-000000000000}">
      <formula1>"F,P"</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7"/>
  <sheetViews>
    <sheetView zoomScaleNormal="100" workbookViewId="0"/>
  </sheetViews>
  <sheetFormatPr baseColWidth="10" defaultColWidth="10.6640625" defaultRowHeight="15"/>
  <sheetData>
    <row r="1" spans="1:6" ht="15.75" customHeight="1">
      <c r="A1" s="1" t="s">
        <v>180</v>
      </c>
    </row>
    <row r="3" spans="1:6" ht="15.75" customHeight="1">
      <c r="A3" s="1" t="s">
        <v>181</v>
      </c>
    </row>
    <row r="5" spans="1:6" ht="15.75" customHeight="1">
      <c r="A5" s="1" t="s">
        <v>182</v>
      </c>
    </row>
    <row r="7" spans="1:6" ht="15.75" customHeight="1">
      <c r="A7" s="1" t="s">
        <v>121</v>
      </c>
      <c r="B7" s="1" t="s">
        <v>183</v>
      </c>
      <c r="C7" s="1" t="s">
        <v>184</v>
      </c>
      <c r="D7" s="1" t="s">
        <v>1</v>
      </c>
      <c r="E7" s="1" t="s">
        <v>185</v>
      </c>
      <c r="F7" s="1" t="s">
        <v>186</v>
      </c>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1"/>
  <sheetViews>
    <sheetView zoomScaleNormal="100" workbookViewId="0"/>
  </sheetViews>
  <sheetFormatPr baseColWidth="10" defaultColWidth="10.6640625" defaultRowHeight="15"/>
  <sheetData>
    <row r="1" spans="1:7" ht="15.75" customHeight="1">
      <c r="A1" s="1" t="s">
        <v>187</v>
      </c>
    </row>
    <row r="3" spans="1:7" ht="15.75" customHeight="1">
      <c r="A3" s="1" t="s">
        <v>188</v>
      </c>
    </row>
    <row r="5" spans="1:7" ht="15.75" customHeight="1">
      <c r="A5" s="1" t="s">
        <v>189</v>
      </c>
      <c r="B5" s="1" t="s">
        <v>190</v>
      </c>
      <c r="C5" s="1" t="s">
        <v>191</v>
      </c>
      <c r="D5" s="1" t="s">
        <v>192</v>
      </c>
      <c r="E5" s="1" t="s">
        <v>193</v>
      </c>
      <c r="F5" s="1" t="s">
        <v>194</v>
      </c>
      <c r="G5" s="1" t="s">
        <v>195</v>
      </c>
    </row>
    <row r="6" spans="1:7" ht="15.75" customHeight="1">
      <c r="A6" s="1" t="s">
        <v>196</v>
      </c>
      <c r="B6" s="1">
        <f>COUNTIF('Saisie 2026-02'!W4:W29,"Atteint")+COUNTIF('Saisie 2026-02'!W4:W29,"Sous objectif")</f>
        <v>24</v>
      </c>
      <c r="C6" s="1">
        <f>SUM('Saisie 2026-02'!V4:V29)</f>
        <v>73</v>
      </c>
      <c r="D6" s="1">
        <f>IFERROR(COUNTIF('Saisie 2026-02'!W4:W29,"Atteint")/(COUNTIF('Saisie 2026-02'!W4:W29,"Atteint")+COUNTIF('Saisie 2026-02'!W4:W29,"Sous objectif")),0)</f>
        <v>0.625</v>
      </c>
      <c r="E6" s="1">
        <f>IFERROR(SUM('Saisie 2026-02'!V4:V29)/(COUNTIF('Saisie 2026-02'!W4:W29,"Atteint")+COUNTIF('Saisie 2026-02'!W4:W29,"Sous objectif")),0)</f>
        <v>3.0416666666666665</v>
      </c>
      <c r="F6" s="1">
        <f>COUNTIF('Saisie 2026-02'!V4:V29,"&gt;=1")</f>
        <v>20</v>
      </c>
      <c r="G6" s="1" t="s">
        <v>197</v>
      </c>
    </row>
    <row r="7" spans="1:7" ht="15.75" customHeight="1">
      <c r="A7" s="1" t="s">
        <v>198</v>
      </c>
      <c r="B7" s="1">
        <f>COUNTIF('Saisie 2026-03'!Y4:Y29,"Atteint")+COUNTIF('Saisie 2026-03'!Y4:Y29,"Sous objectif")</f>
        <v>25</v>
      </c>
      <c r="C7" s="1">
        <f>SUM('Saisie 2026-03'!X4:X29)</f>
        <v>72</v>
      </c>
      <c r="D7" s="1">
        <f>IFERROR(COUNTIF('Saisie 2026-03'!Y4:Y29,"Atteint")/(COUNTIF('Saisie 2026-03'!Y4:Y29,"Atteint")+COUNTIF('Saisie 2026-03'!Y4:Y29,"Sous objectif")),0)</f>
        <v>0.6</v>
      </c>
      <c r="E7" s="1">
        <f>IFERROR(SUM('Saisie 2026-03'!X4:X29)/(COUNTIF('Saisie 2026-03'!Y4:Y29,"Atteint")+COUNTIF('Saisie 2026-03'!Y4:Y29,"Sous objectif")),0)</f>
        <v>2.88</v>
      </c>
      <c r="F7" s="1">
        <f>COUNTIF('Saisie 2026-03'!X4:X29,"&gt;=1")</f>
        <v>23</v>
      </c>
      <c r="G7" s="1" t="s">
        <v>197</v>
      </c>
    </row>
    <row r="8" spans="1:7" ht="15.75" customHeight="1">
      <c r="A8" s="1" t="s">
        <v>199</v>
      </c>
      <c r="B8" s="1">
        <f>COUNTIF('Saisie 2026-04'!Y4:Y29,"Atteint")+COUNTIF('Saisie 2026-04'!Y4:Y29,"Sous objectif")</f>
        <v>26</v>
      </c>
      <c r="C8" s="1">
        <f>SUM('Saisie 2026-04'!X4:X29)</f>
        <v>82</v>
      </c>
      <c r="D8" s="1">
        <f>IFERROR(COUNTIF('Saisie 2026-04'!Y4:Y29,"Atteint")/(COUNTIF('Saisie 2026-04'!Y4:Y29,"Atteint")+COUNTIF('Saisie 2026-04'!Y4:Y29,"Sous objectif")),0)</f>
        <v>0.84615384615384615</v>
      </c>
      <c r="E8" s="1">
        <f>IFERROR(SUM('Saisie 2026-04'!X4:X29)/(COUNTIF('Saisie 2026-04'!Y4:Y29,"Atteint")+COUNTIF('Saisie 2026-04'!Y4:Y29,"Sous objectif")),0)</f>
        <v>3.1538461538461537</v>
      </c>
      <c r="F8" s="1">
        <f>COUNTIF('Saisie 2026-04'!X4:X29,"&gt;=1")</f>
        <v>26</v>
      </c>
      <c r="G8" s="1" t="s">
        <v>197</v>
      </c>
    </row>
    <row r="9" spans="1:7" ht="15.75" customHeight="1">
      <c r="A9" s="1" t="s">
        <v>200</v>
      </c>
      <c r="B9" s="1">
        <f>COUNTIF('Saisie 2026-05'!U4:U29,"Atteint")+COUNTIF('Saisie 2026-05'!U4:U29,"Sous objectif")</f>
        <v>26</v>
      </c>
      <c r="C9" s="1">
        <f>SUM('Saisie 2026-05'!T4:T29)</f>
        <v>81</v>
      </c>
      <c r="D9" s="1">
        <f>IFERROR(COUNTIF('Saisie 2026-05'!U4:U29,"Atteint")/(COUNTIF('Saisie 2026-05'!U4:U29,"Atteint")+COUNTIF('Saisie 2026-05'!U4:U29,"Sous objectif")),0)</f>
        <v>0.53846153846153844</v>
      </c>
      <c r="E9" s="1">
        <f>IFERROR(SUM('Saisie 2026-05'!T4:T29)/(COUNTIF('Saisie 2026-05'!U4:U29,"Atteint")+COUNTIF('Saisie 2026-05'!U4:U29,"Sous objectif")),0)</f>
        <v>3.1153846153846154</v>
      </c>
      <c r="F9" s="1">
        <f>COUNTIF('Saisie 2026-05'!T4:T29,"&gt;=1")</f>
        <v>24</v>
      </c>
      <c r="G9" s="1" t="s">
        <v>197</v>
      </c>
    </row>
    <row r="10" spans="1:7" ht="15.75" customHeight="1">
      <c r="A10" s="1" t="s">
        <v>201</v>
      </c>
      <c r="B10" s="1">
        <f>COUNTIF('Saisie 2026-06'!Y4:Y30,"Atteint")+COUNTIF('Saisie 2026-06'!Y4:Y30,"Sous objectif")</f>
        <v>27</v>
      </c>
      <c r="C10" s="1">
        <f>SUM('Saisie 2026-06'!X4:X30)</f>
        <v>111</v>
      </c>
      <c r="D10" s="1">
        <f>IFERROR(COUNTIF('Saisie 2026-06'!Y4:Y30,"Atteint")/(COUNTIF('Saisie 2026-06'!Y4:Y30,"Atteint")+COUNTIF('Saisie 2026-06'!Y4:Y30,"Sous objectif")),0)</f>
        <v>0.77777777777777779</v>
      </c>
      <c r="E10" s="1">
        <f>IFERROR(SUM('Saisie 2026-06'!X4:X30)/(COUNTIF('Saisie 2026-06'!Y4:Y30,"Atteint")+COUNTIF('Saisie 2026-06'!Y4:Y30,"Sous objectif")),0)</f>
        <v>4.1111111111111107</v>
      </c>
      <c r="F10" s="1">
        <f>COUNTIF('Saisie 2026-06'!X4:X30,"&gt;=1")</f>
        <v>25</v>
      </c>
      <c r="G10" s="1" t="s">
        <v>197</v>
      </c>
    </row>
    <row r="11" spans="1:7" ht="15.75" customHeight="1">
      <c r="A11" s="1" t="s">
        <v>202</v>
      </c>
      <c r="B11" s="1">
        <f>AVERAGE(B8:B10)</f>
        <v>26.333333333333332</v>
      </c>
      <c r="C11" s="1">
        <f>AVERAGE(C8:C10)</f>
        <v>91.333333333333329</v>
      </c>
      <c r="D11" s="1">
        <f>AVERAGE(D8:D10)</f>
        <v>0.72079772079772075</v>
      </c>
      <c r="E11" s="1">
        <f>AVERAGE(E8:E10)</f>
        <v>3.4601139601139601</v>
      </c>
      <c r="F11" s="1">
        <f>AVERAGE(F8:F10)</f>
        <v>25</v>
      </c>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1"/>
  <sheetViews>
    <sheetView zoomScaleNormal="100" workbookViewId="0"/>
  </sheetViews>
  <sheetFormatPr baseColWidth="10" defaultColWidth="10.6640625" defaultRowHeight="15"/>
  <sheetData>
    <row r="1" spans="1:8" ht="15.75" customHeight="1">
      <c r="A1" s="1" t="s">
        <v>203</v>
      </c>
    </row>
    <row r="3" spans="1:8" ht="15.75" customHeight="1">
      <c r="A3" s="1" t="s">
        <v>204</v>
      </c>
    </row>
    <row r="5" spans="1:8" ht="15.75" customHeight="1">
      <c r="A5" s="1" t="s">
        <v>1</v>
      </c>
      <c r="B5" s="1" t="s">
        <v>205</v>
      </c>
      <c r="C5" s="1" t="s">
        <v>198</v>
      </c>
      <c r="D5" s="1" t="s">
        <v>206</v>
      </c>
      <c r="E5" s="1" t="s">
        <v>200</v>
      </c>
      <c r="F5" s="1" t="s">
        <v>201</v>
      </c>
      <c r="G5" s="1" t="s">
        <v>207</v>
      </c>
      <c r="H5" s="1" t="s">
        <v>208</v>
      </c>
    </row>
    <row r="6" spans="1:8" ht="15.75" customHeight="1">
      <c r="A6" s="1" t="s">
        <v>4</v>
      </c>
      <c r="B6" s="1">
        <f>IF('Saisie 2026-02'!W4="N/A absence longue","M",'Saisie 2026-02'!V4)</f>
        <v>3</v>
      </c>
      <c r="C6" s="1">
        <f>IF('Saisie 2026-03'!Y4="N/A absence longue","M",'Saisie 2026-03'!X4)</f>
        <v>3</v>
      </c>
      <c r="D6" s="1">
        <f>IF('Saisie 2026-04'!Y4="N/A absence longue","M",'Saisie 2026-04'!X4)</f>
        <v>2</v>
      </c>
      <c r="E6" s="1">
        <f>IF('Saisie 2026-05'!U4="N/A absence longue","M",'Saisie 2026-05'!T4)</f>
        <v>3</v>
      </c>
      <c r="F6" s="1">
        <f>IF('Saisie 2026-06'!Y4="N/A absence longue","M",'Saisie 2026-06'!X4)</f>
        <v>2</v>
      </c>
      <c r="G6" s="1">
        <f t="shared" ref="G6:G31" si="0">COUNTIF(B6:F6,"&gt;=2")</f>
        <v>5</v>
      </c>
      <c r="H6" s="1" t="str">
        <f t="shared" ref="H6:H31" si="1">IF(G6=5,"5/5 ✓",IF(G6=0,"0/5 ⚠⚠",IF(G6&lt;=1,G6&amp;"/5 ⚠",G6&amp;"/5")))</f>
        <v>5/5 ✓</v>
      </c>
    </row>
    <row r="7" spans="1:8" ht="15.75" customHeight="1">
      <c r="A7" s="1" t="s">
        <v>5</v>
      </c>
      <c r="B7" s="1" t="str">
        <f>IF('Saisie 2026-02'!W5="N/A absence longue","M",'Saisie 2026-02'!V5)</f>
        <v>M</v>
      </c>
      <c r="C7" s="1" t="str">
        <f>IF('Saisie 2026-03'!Y5="N/A absence longue","M",'Saisie 2026-03'!X5)</f>
        <v>M</v>
      </c>
      <c r="D7" s="1">
        <f>IF('Saisie 2026-04'!Y5="N/A absence longue","M",'Saisie 2026-04'!X5)</f>
        <v>11</v>
      </c>
      <c r="E7" s="1">
        <f>IF('Saisie 2026-05'!U5="N/A absence longue","M",'Saisie 2026-05'!T5)</f>
        <v>8</v>
      </c>
      <c r="F7" s="1">
        <f>IF('Saisie 2026-06'!Y5="N/A absence longue","M",'Saisie 2026-06'!X5)</f>
        <v>9</v>
      </c>
      <c r="G7" s="1">
        <f t="shared" si="0"/>
        <v>3</v>
      </c>
      <c r="H7" s="1" t="str">
        <f t="shared" si="1"/>
        <v>3/5</v>
      </c>
    </row>
    <row r="8" spans="1:8" ht="15.75" customHeight="1">
      <c r="A8" s="1" t="s">
        <v>7</v>
      </c>
      <c r="B8" s="1">
        <f>IF('Saisie 2026-02'!W6="N/A absence longue","M",'Saisie 2026-02'!V6)</f>
        <v>1</v>
      </c>
      <c r="C8" s="1">
        <f>IF('Saisie 2026-03'!Y6="N/A absence longue","M",'Saisie 2026-03'!X6)</f>
        <v>0</v>
      </c>
      <c r="D8" s="1">
        <f>IF('Saisie 2026-04'!Y6="N/A absence longue","M",'Saisie 2026-04'!X6)</f>
        <v>1</v>
      </c>
      <c r="E8" s="1">
        <f>IF('Saisie 2026-05'!U6="N/A absence longue","M",'Saisie 2026-05'!T6)</f>
        <v>1</v>
      </c>
      <c r="F8" s="1">
        <f>IF('Saisie 2026-06'!Y6="N/A absence longue","M",'Saisie 2026-06'!X6)</f>
        <v>1</v>
      </c>
      <c r="G8" s="1">
        <f t="shared" si="0"/>
        <v>0</v>
      </c>
      <c r="H8" s="1" t="str">
        <f t="shared" si="1"/>
        <v>0/5 ⚠⚠</v>
      </c>
    </row>
    <row r="9" spans="1:8" ht="15.75" customHeight="1">
      <c r="A9" s="1" t="s">
        <v>8</v>
      </c>
      <c r="B9" s="1">
        <f>IF('Saisie 2026-02'!W7="N/A absence longue","M",'Saisie 2026-02'!V7)</f>
        <v>5</v>
      </c>
      <c r="C9" s="1">
        <f>IF('Saisie 2026-03'!Y7="N/A absence longue","M",'Saisie 2026-03'!X7)</f>
        <v>6</v>
      </c>
      <c r="D9" s="1">
        <f>IF('Saisie 2026-04'!Y7="N/A absence longue","M",'Saisie 2026-04'!X7)</f>
        <v>4</v>
      </c>
      <c r="E9" s="1">
        <f>IF('Saisie 2026-05'!U7="N/A absence longue","M",'Saisie 2026-05'!T7)</f>
        <v>5</v>
      </c>
      <c r="F9" s="1">
        <f>IF('Saisie 2026-06'!Y7="N/A absence longue","M",'Saisie 2026-06'!X7)</f>
        <v>7</v>
      </c>
      <c r="G9" s="1">
        <f t="shared" si="0"/>
        <v>5</v>
      </c>
      <c r="H9" s="1" t="str">
        <f t="shared" si="1"/>
        <v>5/5 ✓</v>
      </c>
    </row>
    <row r="10" spans="1:8" ht="15.75" customHeight="1">
      <c r="A10" s="1" t="s">
        <v>10</v>
      </c>
      <c r="B10" s="1">
        <f>IF('Saisie 2026-02'!W8="N/A absence longue","M",'Saisie 2026-02'!V8)</f>
        <v>11</v>
      </c>
      <c r="C10" s="1">
        <f>IF('Saisie 2026-03'!Y8="N/A absence longue","M",'Saisie 2026-03'!X8)</f>
        <v>12</v>
      </c>
      <c r="D10" s="1">
        <f>IF('Saisie 2026-04'!Y8="N/A absence longue","M",'Saisie 2026-04'!X8)</f>
        <v>12</v>
      </c>
      <c r="E10" s="1">
        <f>IF('Saisie 2026-05'!U8="N/A absence longue","M",'Saisie 2026-05'!T8)</f>
        <v>11</v>
      </c>
      <c r="F10" s="1">
        <f>IF('Saisie 2026-06'!Y9="N/A absence longue","M",'Saisie 2026-06'!X9)</f>
        <v>2</v>
      </c>
      <c r="G10" s="1">
        <f t="shared" si="0"/>
        <v>5</v>
      </c>
      <c r="H10" s="1" t="str">
        <f t="shared" si="1"/>
        <v>5/5 ✓</v>
      </c>
    </row>
    <row r="11" spans="1:8" ht="15.75" customHeight="1">
      <c r="A11" s="1" t="s">
        <v>11</v>
      </c>
      <c r="B11" s="1">
        <f>IF('Saisie 2026-02'!W9="N/A absence longue","M",'Saisie 2026-02'!V9)</f>
        <v>1</v>
      </c>
      <c r="C11" s="1">
        <f>IF('Saisie 2026-03'!Y9="N/A absence longue","M",'Saisie 2026-03'!X9)</f>
        <v>1</v>
      </c>
      <c r="D11" s="1">
        <f>IF('Saisie 2026-04'!Y9="N/A absence longue","M",'Saisie 2026-04'!X9)</f>
        <v>2</v>
      </c>
      <c r="E11" s="1">
        <f>IF('Saisie 2026-05'!U9="N/A absence longue","M",'Saisie 2026-05'!T9)</f>
        <v>10</v>
      </c>
      <c r="F11" s="1">
        <f>IF('Saisie 2026-06'!Y10="N/A absence longue","M",'Saisie 2026-06'!X10)</f>
        <v>3</v>
      </c>
      <c r="G11" s="1">
        <f t="shared" si="0"/>
        <v>3</v>
      </c>
      <c r="H11" s="1" t="str">
        <f t="shared" si="1"/>
        <v>3/5</v>
      </c>
    </row>
    <row r="12" spans="1:8" ht="15.75" customHeight="1">
      <c r="A12" s="1" t="s">
        <v>13</v>
      </c>
      <c r="B12" s="1">
        <f>IF('Saisie 2026-02'!W10="N/A absence longue","M",'Saisie 2026-02'!V10)</f>
        <v>8</v>
      </c>
      <c r="C12" s="1">
        <f>IF('Saisie 2026-03'!Y10="N/A absence longue","M",'Saisie 2026-03'!X10)</f>
        <v>7</v>
      </c>
      <c r="D12" s="1">
        <f>IF('Saisie 2026-04'!Y10="N/A absence longue","M",'Saisie 2026-04'!X10)</f>
        <v>6</v>
      </c>
      <c r="E12" s="1">
        <f>IF('Saisie 2026-05'!U10="N/A absence longue","M",'Saisie 2026-05'!T10)</f>
        <v>6</v>
      </c>
      <c r="F12" s="1">
        <f>IF('Saisie 2026-06'!Y11="N/A absence longue","M",'Saisie 2026-06'!X11)</f>
        <v>8</v>
      </c>
      <c r="G12" s="1">
        <f t="shared" si="0"/>
        <v>5</v>
      </c>
      <c r="H12" s="1" t="str">
        <f t="shared" si="1"/>
        <v>5/5 ✓</v>
      </c>
    </row>
    <row r="13" spans="1:8" ht="15.75" customHeight="1">
      <c r="A13" s="1" t="s">
        <v>14</v>
      </c>
      <c r="B13" s="1">
        <f>IF('Saisie 2026-02'!W11="N/A absence longue","M",'Saisie 2026-02'!V11)</f>
        <v>0</v>
      </c>
      <c r="C13" s="1">
        <f>IF('Saisie 2026-03'!Y11="N/A absence longue","M",'Saisie 2026-03'!X11)</f>
        <v>2</v>
      </c>
      <c r="D13" s="1">
        <f>IF('Saisie 2026-04'!Y11="N/A absence longue","M",'Saisie 2026-04'!X11)</f>
        <v>2</v>
      </c>
      <c r="E13" s="1">
        <f>IF('Saisie 2026-05'!U11="N/A absence longue","M",'Saisie 2026-05'!T11)</f>
        <v>1</v>
      </c>
      <c r="F13" s="1">
        <f>IF('Saisie 2026-06'!Y12="N/A absence longue","M",'Saisie 2026-06'!X12)</f>
        <v>2</v>
      </c>
      <c r="G13" s="1">
        <f t="shared" si="0"/>
        <v>3</v>
      </c>
      <c r="H13" s="1" t="str">
        <f t="shared" si="1"/>
        <v>3/5</v>
      </c>
    </row>
    <row r="14" spans="1:8" ht="15.75" customHeight="1">
      <c r="A14" s="1" t="s">
        <v>15</v>
      </c>
      <c r="B14" s="1">
        <f>IF('Saisie 2026-02'!W12="N/A absence longue","M",'Saisie 2026-02'!V12)</f>
        <v>4</v>
      </c>
      <c r="C14" s="1">
        <f>IF('Saisie 2026-03'!Y12="N/A absence longue","M",'Saisie 2026-03'!X12)</f>
        <v>1</v>
      </c>
      <c r="D14" s="1">
        <f>IF('Saisie 2026-04'!Y12="N/A absence longue","M",'Saisie 2026-04'!X12)</f>
        <v>1</v>
      </c>
      <c r="E14" s="1">
        <f>IF('Saisie 2026-05'!U12="N/A absence longue","M",'Saisie 2026-05'!T12)</f>
        <v>1</v>
      </c>
      <c r="F14" s="1">
        <f>IF('Saisie 2026-06'!Y13="N/A absence longue","M",'Saisie 2026-06'!X13)</f>
        <v>2</v>
      </c>
      <c r="G14" s="1">
        <f t="shared" si="0"/>
        <v>2</v>
      </c>
      <c r="H14" s="1" t="str">
        <f t="shared" si="1"/>
        <v>2/5</v>
      </c>
    </row>
    <row r="15" spans="1:8" ht="15.75" customHeight="1">
      <c r="A15" s="1" t="s">
        <v>16</v>
      </c>
      <c r="B15" s="1">
        <f>IF('Saisie 2026-02'!W13="N/A absence longue","M",'Saisie 2026-02'!V13)</f>
        <v>0</v>
      </c>
      <c r="C15" s="1">
        <f>IF('Saisie 2026-03'!Y13="N/A absence longue","M",'Saisie 2026-03'!X13)</f>
        <v>2</v>
      </c>
      <c r="D15" s="1">
        <f>IF('Saisie 2026-04'!Y13="N/A absence longue","M",'Saisie 2026-04'!X13)</f>
        <v>1</v>
      </c>
      <c r="E15" s="1">
        <f>IF('Saisie 2026-05'!U13="N/A absence longue","M",'Saisie 2026-05'!T13)</f>
        <v>1</v>
      </c>
      <c r="F15" s="1">
        <f>IF('Saisie 2026-06'!Y14="N/A absence longue","M",'Saisie 2026-06'!X14)</f>
        <v>2</v>
      </c>
      <c r="G15" s="1">
        <f t="shared" si="0"/>
        <v>2</v>
      </c>
      <c r="H15" s="1" t="str">
        <f t="shared" si="1"/>
        <v>2/5</v>
      </c>
    </row>
    <row r="16" spans="1:8" ht="15.75" customHeight="1">
      <c r="A16" s="1" t="s">
        <v>18</v>
      </c>
      <c r="B16" s="1">
        <f>IF('Saisie 2026-02'!W14="N/A absence longue","M",'Saisie 2026-02'!V14)</f>
        <v>3</v>
      </c>
      <c r="C16" s="1">
        <f>IF('Saisie 2026-03'!Y14="N/A absence longue","M",'Saisie 2026-03'!X14)</f>
        <v>2</v>
      </c>
      <c r="D16" s="1">
        <f>IF('Saisie 2026-04'!Y14="N/A absence longue","M",'Saisie 2026-04'!X14)</f>
        <v>2</v>
      </c>
      <c r="E16" s="1">
        <f>IF('Saisie 2026-05'!U14="N/A absence longue","M",'Saisie 2026-05'!T14)</f>
        <v>1</v>
      </c>
      <c r="F16" s="1">
        <f>IF('Saisie 2026-06'!Y15="N/A absence longue","M",'Saisie 2026-06'!X15)</f>
        <v>3</v>
      </c>
      <c r="G16" s="1">
        <f t="shared" si="0"/>
        <v>4</v>
      </c>
      <c r="H16" s="1" t="str">
        <f t="shared" si="1"/>
        <v>4/5</v>
      </c>
    </row>
    <row r="17" spans="1:8" ht="15.75" customHeight="1">
      <c r="A17" s="1" t="s">
        <v>19</v>
      </c>
      <c r="B17" s="1">
        <f>IF('Saisie 2026-02'!W15="N/A absence longue","M",'Saisie 2026-02'!V15)</f>
        <v>2</v>
      </c>
      <c r="C17" s="1">
        <f>IF('Saisie 2026-03'!Y15="N/A absence longue","M",'Saisie 2026-03'!X15)</f>
        <v>5</v>
      </c>
      <c r="D17" s="1">
        <f>IF('Saisie 2026-04'!Y15="N/A absence longue","M",'Saisie 2026-04'!X15)</f>
        <v>4</v>
      </c>
      <c r="E17" s="1">
        <f>IF('Saisie 2026-05'!U15="N/A absence longue","M",'Saisie 2026-05'!T15)</f>
        <v>3</v>
      </c>
      <c r="F17" s="1">
        <f>IF('Saisie 2026-06'!Y16="N/A absence longue","M",'Saisie 2026-06'!X16)</f>
        <v>6</v>
      </c>
      <c r="G17" s="1">
        <f t="shared" si="0"/>
        <v>5</v>
      </c>
      <c r="H17" s="1" t="str">
        <f t="shared" si="1"/>
        <v>5/5 ✓</v>
      </c>
    </row>
    <row r="18" spans="1:8" ht="15.75" customHeight="1">
      <c r="A18" s="1" t="s">
        <v>20</v>
      </c>
      <c r="B18" s="1">
        <f>IF('Saisie 2026-02'!W16="N/A absence longue","M",'Saisie 2026-02'!V16)</f>
        <v>3</v>
      </c>
      <c r="C18" s="1">
        <f>IF('Saisie 2026-03'!Y16="N/A absence longue","M",'Saisie 2026-03'!X16)</f>
        <v>4</v>
      </c>
      <c r="D18" s="1">
        <f>IF('Saisie 2026-04'!Y16="N/A absence longue","M",'Saisie 2026-04'!X16)</f>
        <v>2</v>
      </c>
      <c r="E18" s="1">
        <f>IF('Saisie 2026-05'!U16="N/A absence longue","M",'Saisie 2026-05'!T16)</f>
        <v>3</v>
      </c>
      <c r="F18" s="1">
        <f>IF('Saisie 2026-06'!Y17="N/A absence longue","M",'Saisie 2026-06'!X17)</f>
        <v>2</v>
      </c>
      <c r="G18" s="1">
        <f t="shared" si="0"/>
        <v>5</v>
      </c>
      <c r="H18" s="1" t="str">
        <f t="shared" si="1"/>
        <v>5/5 ✓</v>
      </c>
    </row>
    <row r="19" spans="1:8" ht="15.75" customHeight="1">
      <c r="A19" s="1" t="s">
        <v>21</v>
      </c>
      <c r="B19" s="1">
        <f>IF('Saisie 2026-02'!W17="N/A absence longue","M",'Saisie 2026-02'!V17)</f>
        <v>0</v>
      </c>
      <c r="C19" s="1">
        <f>IF('Saisie 2026-03'!Y17="N/A absence longue","M",'Saisie 2026-03'!X17)</f>
        <v>1</v>
      </c>
      <c r="D19" s="1">
        <f>IF('Saisie 2026-04'!Y17="N/A absence longue","M",'Saisie 2026-04'!X17)</f>
        <v>3</v>
      </c>
      <c r="E19" s="1">
        <f>IF('Saisie 2026-05'!U17="N/A absence longue","M",'Saisie 2026-05'!T17)</f>
        <v>8</v>
      </c>
      <c r="F19" s="1">
        <f>IF('Saisie 2026-06'!Y18="N/A absence longue","M",'Saisie 2026-06'!X18)</f>
        <v>13</v>
      </c>
      <c r="G19" s="1">
        <f t="shared" si="0"/>
        <v>3</v>
      </c>
      <c r="H19" s="1" t="str">
        <f t="shared" si="1"/>
        <v>3/5</v>
      </c>
    </row>
    <row r="20" spans="1:8" ht="15.75" customHeight="1">
      <c r="A20" s="1" t="s">
        <v>12</v>
      </c>
      <c r="B20" s="1">
        <f>IF('Saisie 2026-02'!W18="N/A absence longue","M",'Saisie 2026-02'!V18)</f>
        <v>3</v>
      </c>
      <c r="C20" s="1">
        <f>IF('Saisie 2026-03'!Y18="N/A absence longue","M",'Saisie 2026-03'!X18)</f>
        <v>1</v>
      </c>
      <c r="D20" s="1">
        <f>IF('Saisie 2026-04'!Y18="N/A absence longue","M",'Saisie 2026-04'!X18)</f>
        <v>2</v>
      </c>
      <c r="E20" s="1">
        <f>IF('Saisie 2026-05'!U18="N/A absence longue","M",'Saisie 2026-05'!T18)</f>
        <v>1</v>
      </c>
      <c r="F20" s="1">
        <f>IF('Saisie 2026-06'!Y19="N/A absence longue","M",'Saisie 2026-06'!X19)</f>
        <v>3</v>
      </c>
      <c r="G20" s="1">
        <f t="shared" si="0"/>
        <v>3</v>
      </c>
      <c r="H20" s="1" t="str">
        <f t="shared" si="1"/>
        <v>3/5</v>
      </c>
    </row>
    <row r="21" spans="1:8" ht="15.75" customHeight="1">
      <c r="A21" s="1" t="s">
        <v>17</v>
      </c>
      <c r="B21" s="1">
        <f>IF('Saisie 2026-02'!W19="N/A absence longue","M",'Saisie 2026-02'!V19)</f>
        <v>1</v>
      </c>
      <c r="C21" s="1">
        <f>IF('Saisie 2026-03'!Y19="N/A absence longue","M",'Saisie 2026-03'!X19)</f>
        <v>1</v>
      </c>
      <c r="D21" s="1">
        <f>IF('Saisie 2026-04'!Y19="N/A absence longue","M",'Saisie 2026-04'!X19)</f>
        <v>3</v>
      </c>
      <c r="E21" s="1">
        <f>IF('Saisie 2026-05'!U19="N/A absence longue","M",'Saisie 2026-05'!T19)</f>
        <v>2</v>
      </c>
      <c r="F21" s="1">
        <f>IF('Saisie 2026-06'!Y20="N/A absence longue","M",'Saisie 2026-06'!X20)</f>
        <v>1</v>
      </c>
      <c r="G21" s="1">
        <f t="shared" si="0"/>
        <v>2</v>
      </c>
      <c r="H21" s="1" t="str">
        <f t="shared" si="1"/>
        <v>2/5</v>
      </c>
    </row>
    <row r="22" spans="1:8" ht="15.75" customHeight="1">
      <c r="A22" s="1" t="s">
        <v>22</v>
      </c>
      <c r="B22" s="1">
        <f>IF('Saisie 2026-02'!W20="N/A absence longue","M",'Saisie 2026-02'!V20)</f>
        <v>2</v>
      </c>
      <c r="C22" s="1">
        <f>IF('Saisie 2026-03'!Y20="N/A absence longue","M",'Saisie 2026-03'!X20)</f>
        <v>4</v>
      </c>
      <c r="D22" s="1">
        <f>IF('Saisie 2026-04'!Y20="N/A absence longue","M",'Saisie 2026-04'!X20)</f>
        <v>3</v>
      </c>
      <c r="E22" s="1">
        <f>IF('Saisie 2026-05'!U20="N/A absence longue","M",'Saisie 2026-05'!T20)</f>
        <v>1</v>
      </c>
      <c r="F22" s="1">
        <f>IF('Saisie 2026-06'!Y21="N/A absence longue","M",'Saisie 2026-06'!X21)</f>
        <v>4</v>
      </c>
      <c r="G22" s="1">
        <f t="shared" si="0"/>
        <v>4</v>
      </c>
      <c r="H22" s="1" t="str">
        <f t="shared" si="1"/>
        <v>4/5</v>
      </c>
    </row>
    <row r="23" spans="1:8" ht="15.75" customHeight="1">
      <c r="A23" s="1" t="s">
        <v>23</v>
      </c>
      <c r="B23" s="1">
        <f>IF('Saisie 2026-02'!W21="N/A absence longue","M",'Saisie 2026-02'!V21)</f>
        <v>2</v>
      </c>
      <c r="C23" s="1">
        <f>IF('Saisie 2026-03'!Y21="N/A absence longue","M",'Saisie 2026-03'!X21)</f>
        <v>4</v>
      </c>
      <c r="D23" s="1">
        <f>IF('Saisie 2026-04'!Y21="N/A absence longue","M",'Saisie 2026-04'!X21)</f>
        <v>3</v>
      </c>
      <c r="E23" s="1">
        <f>IF('Saisie 2026-05'!U21="N/A absence longue","M",'Saisie 2026-05'!T21)</f>
        <v>5</v>
      </c>
      <c r="F23" s="1">
        <f>IF('Saisie 2026-06'!Y22="N/A absence longue","M",'Saisie 2026-06'!X22)</f>
        <v>10</v>
      </c>
      <c r="G23" s="1">
        <f t="shared" si="0"/>
        <v>5</v>
      </c>
      <c r="H23" s="1" t="str">
        <f t="shared" si="1"/>
        <v>5/5 ✓</v>
      </c>
    </row>
    <row r="24" spans="1:8" ht="15.75" customHeight="1">
      <c r="A24" s="1" t="s">
        <v>110</v>
      </c>
      <c r="B24" s="1">
        <f>IF('Saisie 2026-02'!W22="N/A absence longue","M",'Saisie 2026-02'!V22)</f>
        <v>2</v>
      </c>
      <c r="C24" s="1">
        <f>IF('Saisie 2026-03'!Y22="N/A absence longue","M",'Saisie 2026-03'!X22)</f>
        <v>1</v>
      </c>
      <c r="D24" s="1">
        <f>IF('Saisie 2026-04'!Y22="N/A absence longue","M",'Saisie 2026-04'!X22)</f>
        <v>2</v>
      </c>
      <c r="E24" s="1">
        <f>IF('Saisie 2026-05'!U22="N/A absence longue","M",'Saisie 2026-05'!T22)</f>
        <v>0</v>
      </c>
      <c r="F24" s="1">
        <f>IF('Saisie 2026-06'!Y23="N/A absence longue","M",'Saisie 2026-06'!X23)</f>
        <v>1</v>
      </c>
      <c r="G24" s="1">
        <f t="shared" si="0"/>
        <v>2</v>
      </c>
      <c r="H24" s="1" t="str">
        <f t="shared" si="1"/>
        <v>2/5</v>
      </c>
    </row>
    <row r="25" spans="1:8" ht="15.75" customHeight="1">
      <c r="A25" s="1" t="s">
        <v>24</v>
      </c>
      <c r="B25" s="1">
        <f>IF('Saisie 2026-02'!W23="N/A absence longue","M",'Saisie 2026-02'!V23)</f>
        <v>1</v>
      </c>
      <c r="C25" s="1">
        <f>IF('Saisie 2026-03'!Y23="N/A absence longue","M",'Saisie 2026-03'!X23)</f>
        <v>1</v>
      </c>
      <c r="D25" s="1">
        <f>IF('Saisie 2026-04'!Y23="N/A absence longue","M",'Saisie 2026-04'!X23)</f>
        <v>2</v>
      </c>
      <c r="E25" s="1">
        <f>IF('Saisie 2026-05'!U23="N/A absence longue","M",'Saisie 2026-05'!T23)</f>
        <v>2</v>
      </c>
      <c r="F25" s="1">
        <f>IF('Saisie 2026-06'!Y24="N/A absence longue","M",'Saisie 2026-06'!X24)</f>
        <v>2</v>
      </c>
      <c r="G25" s="1">
        <f t="shared" si="0"/>
        <v>3</v>
      </c>
      <c r="H25" s="1" t="str">
        <f t="shared" si="1"/>
        <v>3/5</v>
      </c>
    </row>
    <row r="26" spans="1:8" ht="15.75" customHeight="1">
      <c r="A26" s="1" t="s">
        <v>25</v>
      </c>
      <c r="B26" s="1">
        <f>IF('Saisie 2026-02'!W24="N/A absence longue","M",'Saisie 2026-02'!V24)</f>
        <v>0</v>
      </c>
      <c r="C26" s="1">
        <f>IF('Saisie 2026-03'!Y24="N/A absence longue","M",'Saisie 2026-03'!X24)</f>
        <v>4</v>
      </c>
      <c r="D26" s="1">
        <f>IF('Saisie 2026-04'!Y24="N/A absence longue","M",'Saisie 2026-04'!X24)</f>
        <v>2</v>
      </c>
      <c r="E26" s="1">
        <f>IF('Saisie 2026-05'!U24="N/A absence longue","M",'Saisie 2026-05'!T24)</f>
        <v>1</v>
      </c>
      <c r="F26" s="1">
        <f>IF('Saisie 2026-06'!Y25="N/A absence longue","M",'Saisie 2026-06'!X25)</f>
        <v>0</v>
      </c>
      <c r="G26" s="1">
        <f t="shared" si="0"/>
        <v>2</v>
      </c>
      <c r="H26" s="1" t="str">
        <f t="shared" si="1"/>
        <v>2/5</v>
      </c>
    </row>
    <row r="27" spans="1:8" ht="15.75" customHeight="1">
      <c r="A27" s="1" t="s">
        <v>26</v>
      </c>
      <c r="B27" s="1">
        <f>IF('Saisie 2026-02'!W25="N/A absence longue","M",'Saisie 2026-02'!V25)</f>
        <v>11</v>
      </c>
      <c r="C27" s="1">
        <f>IF('Saisie 2026-03'!Y25="N/A absence longue","M",'Saisie 2026-03'!X25)</f>
        <v>1</v>
      </c>
      <c r="D27" s="1">
        <f>IF('Saisie 2026-04'!Y25="N/A absence longue","M",'Saisie 2026-04'!X25)</f>
        <v>2</v>
      </c>
      <c r="E27" s="1">
        <f>IF('Saisie 2026-05'!U25="N/A absence longue","M",'Saisie 2026-05'!T25)</f>
        <v>3</v>
      </c>
      <c r="F27" s="1">
        <f>IF('Saisie 2026-06'!Y26="N/A absence longue","M",'Saisie 2026-06'!X26)</f>
        <v>1</v>
      </c>
      <c r="G27" s="1">
        <f t="shared" si="0"/>
        <v>3</v>
      </c>
      <c r="H27" s="1" t="str">
        <f t="shared" si="1"/>
        <v>3/5</v>
      </c>
    </row>
    <row r="28" spans="1:8" ht="15.75" customHeight="1">
      <c r="A28" s="1" t="s">
        <v>111</v>
      </c>
      <c r="B28" s="1">
        <f>IF('Saisie 2026-02'!W26="N/A absence longue","M",'Saisie 2026-02'!V26)</f>
        <v>1</v>
      </c>
      <c r="C28" s="1">
        <f>IF('Saisie 2026-03'!Y26="N/A absence longue","M",'Saisie 2026-03'!X26)</f>
        <v>0</v>
      </c>
      <c r="D28" s="1">
        <f>IF('Saisie 2026-04'!Y26="N/A absence longue","M",'Saisie 2026-04'!X26)</f>
        <v>1</v>
      </c>
      <c r="E28" s="1">
        <f>IF('Saisie 2026-05'!U26="N/A absence longue","M",'Saisie 2026-05'!T26)</f>
        <v>0</v>
      </c>
      <c r="F28" s="1">
        <f>IF('Saisie 2026-06'!Y27="N/A absence longue","M",'Saisie 2026-06'!X27)</f>
        <v>0</v>
      </c>
      <c r="G28" s="1">
        <f t="shared" si="0"/>
        <v>0</v>
      </c>
      <c r="H28" s="1" t="str">
        <f t="shared" si="1"/>
        <v>0/5 ⚠⚠</v>
      </c>
    </row>
    <row r="29" spans="1:8" ht="15.75" customHeight="1">
      <c r="A29" s="1" t="s">
        <v>27</v>
      </c>
      <c r="B29" s="1">
        <f>IF('Saisie 2026-02'!W27="N/A absence longue","M",'Saisie 2026-02'!V27)</f>
        <v>5</v>
      </c>
      <c r="C29" s="1">
        <f>IF('Saisie 2026-03'!Y27="N/A absence longue","M",'Saisie 2026-03'!X27)</f>
        <v>2</v>
      </c>
      <c r="D29" s="1">
        <f>IF('Saisie 2026-04'!Y27="N/A absence longue","M",'Saisie 2026-04'!X27)</f>
        <v>2</v>
      </c>
      <c r="E29" s="1">
        <f>IF('Saisie 2026-05'!U27="N/A absence longue","M",'Saisie 2026-05'!T27)</f>
        <v>2</v>
      </c>
      <c r="F29" s="1">
        <f>IF('Saisie 2026-06'!Y28="N/A absence longue","M",'Saisie 2026-06'!X28)</f>
        <v>2</v>
      </c>
      <c r="G29" s="1">
        <f t="shared" si="0"/>
        <v>5</v>
      </c>
      <c r="H29" s="1" t="str">
        <f t="shared" si="1"/>
        <v>5/5 ✓</v>
      </c>
    </row>
    <row r="30" spans="1:8" ht="15.75" customHeight="1">
      <c r="A30" s="1" t="s">
        <v>28</v>
      </c>
      <c r="B30" s="1">
        <f>IF('Saisie 2026-02'!W28="N/A absence longue","M",'Saisie 2026-02'!V28)</f>
        <v>4</v>
      </c>
      <c r="C30" s="1">
        <f>IF('Saisie 2026-03'!Y28="N/A absence longue","M",'Saisie 2026-03'!X28)</f>
        <v>4</v>
      </c>
      <c r="D30" s="1">
        <f>IF('Saisie 2026-04'!Y28="N/A absence longue","M",'Saisie 2026-04'!X28)</f>
        <v>3</v>
      </c>
      <c r="E30" s="1">
        <f>IF('Saisie 2026-05'!U28="N/A absence longue","M",'Saisie 2026-05'!T28)</f>
        <v>1</v>
      </c>
      <c r="F30" s="1">
        <f>IF('Saisie 2026-06'!Y29="N/A absence longue","M",'Saisie 2026-06'!X29)</f>
        <v>3</v>
      </c>
      <c r="G30" s="1">
        <f t="shared" si="0"/>
        <v>4</v>
      </c>
      <c r="H30" s="1" t="str">
        <f t="shared" si="1"/>
        <v>4/5</v>
      </c>
    </row>
    <row r="31" spans="1:8" ht="15.75" customHeight="1">
      <c r="A31" s="1" t="s">
        <v>29</v>
      </c>
      <c r="B31" s="1">
        <f>IF('Saisie 2026-02'!W29="N/A absence longue","M",'Saisie 2026-02'!V29)</f>
        <v>0</v>
      </c>
      <c r="C31" s="1">
        <f>IF('Saisie 2026-03'!Y29="N/A absence longue","M",'Saisie 2026-03'!X29)</f>
        <v>3</v>
      </c>
      <c r="D31" s="1">
        <f>IF('Saisie 2026-04'!Y29="N/A absence longue","M",'Saisie 2026-04'!X29)</f>
        <v>4</v>
      </c>
      <c r="E31" s="1">
        <f>IF('Saisie 2026-05'!U29="N/A absence longue","M",'Saisie 2026-05'!T29)</f>
        <v>1</v>
      </c>
      <c r="F31" s="1">
        <f>IF('Saisie 2026-06'!Y30="N/A absence longue","M",'Saisie 2026-06'!X30)</f>
        <v>5</v>
      </c>
      <c r="G31" s="1">
        <f t="shared" si="0"/>
        <v>3</v>
      </c>
      <c r="H31" s="1" t="str">
        <f t="shared" si="1"/>
        <v>3/5</v>
      </c>
    </row>
  </sheetData>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00"/>
  <sheetViews>
    <sheetView zoomScaleNormal="100" workbookViewId="0">
      <pane ySplit="3" topLeftCell="A4" activePane="bottomLeft" state="frozen"/>
      <selection pane="bottomLeft"/>
    </sheetView>
  </sheetViews>
  <sheetFormatPr baseColWidth="10" defaultColWidth="8.6640625" defaultRowHeight="15"/>
  <cols>
    <col min="1" max="2" width="12" customWidth="1"/>
    <col min="3" max="3" width="18" customWidth="1"/>
    <col min="4" max="4" width="14" customWidth="1"/>
    <col min="5" max="5" width="38" customWidth="1"/>
    <col min="6" max="8" width="50" customWidth="1"/>
  </cols>
  <sheetData>
    <row r="1" spans="1:8" ht="17.25" customHeight="1">
      <c r="A1" s="43" t="s">
        <v>209</v>
      </c>
      <c r="B1" s="40"/>
      <c r="C1" s="40"/>
      <c r="D1" s="40"/>
      <c r="E1" s="40"/>
      <c r="F1" s="40"/>
      <c r="G1" s="40"/>
      <c r="H1" s="40"/>
    </row>
    <row r="2" spans="1:8" ht="25.5" customHeight="1">
      <c r="A2" s="42" t="s">
        <v>210</v>
      </c>
      <c r="B2" s="40"/>
      <c r="C2" s="40"/>
      <c r="D2" s="40"/>
      <c r="E2" s="40"/>
      <c r="F2" s="40"/>
      <c r="G2" s="40"/>
      <c r="H2" s="40"/>
    </row>
    <row r="3" spans="1:8" ht="21.75" customHeight="1">
      <c r="A3" s="36" t="s">
        <v>211</v>
      </c>
      <c r="B3" s="36" t="s">
        <v>72</v>
      </c>
      <c r="C3" s="36" t="s">
        <v>212</v>
      </c>
      <c r="D3" s="36" t="s">
        <v>213</v>
      </c>
      <c r="E3" s="36" t="s">
        <v>214</v>
      </c>
      <c r="F3" s="36" t="s">
        <v>215</v>
      </c>
      <c r="G3" s="36" t="s">
        <v>216</v>
      </c>
      <c r="H3" s="36" t="s">
        <v>217</v>
      </c>
    </row>
    <row r="4" spans="1:8" ht="15" customHeight="1">
      <c r="A4" t="s">
        <v>218</v>
      </c>
      <c r="B4" t="s">
        <v>172</v>
      </c>
      <c r="C4" s="37">
        <v>46162.433935185189</v>
      </c>
      <c r="D4">
        <v>5</v>
      </c>
      <c r="E4" t="s">
        <v>219</v>
      </c>
      <c r="F4" s="3" t="s">
        <v>220</v>
      </c>
      <c r="G4" s="3" t="s">
        <v>221</v>
      </c>
      <c r="H4" s="3" t="s">
        <v>222</v>
      </c>
    </row>
    <row r="5" spans="1:8" ht="15" customHeight="1">
      <c r="A5" t="s">
        <v>223</v>
      </c>
      <c r="B5" t="s">
        <v>172</v>
      </c>
      <c r="C5" s="37">
        <v>46162.448182870372</v>
      </c>
      <c r="D5">
        <v>2</v>
      </c>
      <c r="E5" t="s">
        <v>224</v>
      </c>
      <c r="F5" s="3" t="s">
        <v>225</v>
      </c>
      <c r="G5" s="3" t="s">
        <v>226</v>
      </c>
      <c r="H5" s="3" t="s">
        <v>227</v>
      </c>
    </row>
    <row r="6" spans="1:8" ht="15" customHeight="1">
      <c r="A6" t="s">
        <v>228</v>
      </c>
      <c r="B6" t="s">
        <v>172</v>
      </c>
      <c r="C6" s="37">
        <v>46162.448657407411</v>
      </c>
      <c r="D6">
        <v>2</v>
      </c>
      <c r="E6" t="s">
        <v>229</v>
      </c>
      <c r="F6" s="3" t="s">
        <v>230</v>
      </c>
      <c r="G6" s="3" t="s">
        <v>231</v>
      </c>
      <c r="H6" s="3" t="s">
        <v>232</v>
      </c>
    </row>
    <row r="7" spans="1:8" ht="15" customHeight="1">
      <c r="A7" t="s">
        <v>233</v>
      </c>
      <c r="B7" t="s">
        <v>172</v>
      </c>
      <c r="C7" s="37">
        <v>46162.602337962962</v>
      </c>
      <c r="D7">
        <v>5</v>
      </c>
      <c r="E7" t="s">
        <v>219</v>
      </c>
      <c r="F7" s="3" t="s">
        <v>234</v>
      </c>
      <c r="G7" s="3" t="s">
        <v>235</v>
      </c>
      <c r="H7" s="3" t="s">
        <v>236</v>
      </c>
    </row>
    <row r="8" spans="1:8" ht="15" customHeight="1">
      <c r="A8" t="s">
        <v>237</v>
      </c>
      <c r="B8" t="s">
        <v>172</v>
      </c>
      <c r="C8" s="37">
        <v>46162.623414351852</v>
      </c>
      <c r="D8">
        <v>4</v>
      </c>
      <c r="E8" t="s">
        <v>238</v>
      </c>
      <c r="F8" s="3" t="s">
        <v>239</v>
      </c>
      <c r="G8" s="3" t="s">
        <v>240</v>
      </c>
      <c r="H8" s="3" t="s">
        <v>241</v>
      </c>
    </row>
    <row r="9" spans="1:8" ht="15" customHeight="1">
      <c r="A9" t="s">
        <v>242</v>
      </c>
      <c r="B9" t="s">
        <v>160</v>
      </c>
      <c r="C9" s="37">
        <v>46064.643229166657</v>
      </c>
      <c r="D9">
        <v>5</v>
      </c>
      <c r="E9" t="s">
        <v>238</v>
      </c>
      <c r="F9" s="3" t="s">
        <v>243</v>
      </c>
      <c r="G9" s="3" t="s">
        <v>244</v>
      </c>
      <c r="H9" s="3" t="s">
        <v>245</v>
      </c>
    </row>
    <row r="10" spans="1:8" ht="15" customHeight="1">
      <c r="A10" t="s">
        <v>246</v>
      </c>
      <c r="B10" t="s">
        <v>160</v>
      </c>
      <c r="C10" s="37">
        <v>46064.647916666669</v>
      </c>
      <c r="D10">
        <v>5</v>
      </c>
      <c r="E10" t="s">
        <v>238</v>
      </c>
      <c r="F10" s="3" t="s">
        <v>247</v>
      </c>
      <c r="G10" s="3" t="s">
        <v>248</v>
      </c>
      <c r="H10" s="3"/>
    </row>
    <row r="11" spans="1:8" ht="15" customHeight="1">
      <c r="A11" t="s">
        <v>249</v>
      </c>
      <c r="B11" t="s">
        <v>160</v>
      </c>
      <c r="C11" s="37">
        <v>46064.653194444443</v>
      </c>
      <c r="D11">
        <v>4</v>
      </c>
      <c r="E11" t="s">
        <v>219</v>
      </c>
      <c r="F11" s="3" t="s">
        <v>250</v>
      </c>
      <c r="G11" s="3" t="s">
        <v>251</v>
      </c>
      <c r="H11" s="3" t="s">
        <v>252</v>
      </c>
    </row>
    <row r="12" spans="1:8" ht="15" customHeight="1">
      <c r="A12" t="s">
        <v>253</v>
      </c>
      <c r="B12" t="s">
        <v>160</v>
      </c>
      <c r="C12" s="37">
        <v>46064.665648148148</v>
      </c>
      <c r="D12">
        <v>5</v>
      </c>
      <c r="E12" t="s">
        <v>238</v>
      </c>
      <c r="F12" s="3" t="s">
        <v>254</v>
      </c>
      <c r="G12" s="3" t="s">
        <v>255</v>
      </c>
      <c r="H12" s="3" t="s">
        <v>256</v>
      </c>
    </row>
    <row r="13" spans="1:8" ht="15" customHeight="1">
      <c r="A13" t="s">
        <v>257</v>
      </c>
      <c r="B13" t="s">
        <v>160</v>
      </c>
      <c r="C13" s="37">
        <v>46064.813101851847</v>
      </c>
      <c r="D13">
        <v>4</v>
      </c>
      <c r="E13" t="s">
        <v>219</v>
      </c>
      <c r="F13" s="3" t="s">
        <v>258</v>
      </c>
      <c r="G13" s="3" t="s">
        <v>259</v>
      </c>
      <c r="H13" s="3" t="s">
        <v>260</v>
      </c>
    </row>
    <row r="14" spans="1:8" ht="15" customHeight="1">
      <c r="A14" t="s">
        <v>261</v>
      </c>
      <c r="B14" t="s">
        <v>160</v>
      </c>
      <c r="C14" s="37">
        <v>46065</v>
      </c>
      <c r="D14">
        <v>4</v>
      </c>
      <c r="E14" t="s">
        <v>219</v>
      </c>
      <c r="F14" s="3" t="s">
        <v>262</v>
      </c>
      <c r="G14" s="3" t="s">
        <v>263</v>
      </c>
      <c r="H14" s="3" t="s">
        <v>264</v>
      </c>
    </row>
    <row r="15" spans="1:8" ht="15" customHeight="1">
      <c r="A15" t="s">
        <v>265</v>
      </c>
      <c r="B15" t="s">
        <v>160</v>
      </c>
      <c r="C15" s="37">
        <v>46065.377002314817</v>
      </c>
      <c r="D15">
        <v>5</v>
      </c>
      <c r="E15" t="s">
        <v>238</v>
      </c>
      <c r="F15" s="3" t="s">
        <v>266</v>
      </c>
      <c r="G15" s="3" t="s">
        <v>267</v>
      </c>
      <c r="H15" s="3" t="s">
        <v>264</v>
      </c>
    </row>
    <row r="16" spans="1:8" ht="15" customHeight="1">
      <c r="A16" t="s">
        <v>268</v>
      </c>
      <c r="B16" t="s">
        <v>160</v>
      </c>
      <c r="C16" s="37">
        <v>46065.688576388893</v>
      </c>
      <c r="D16">
        <v>4</v>
      </c>
      <c r="E16" t="s">
        <v>219</v>
      </c>
      <c r="F16" s="3" t="s">
        <v>269</v>
      </c>
      <c r="G16" s="3" t="s">
        <v>270</v>
      </c>
      <c r="H16" s="3" t="s">
        <v>271</v>
      </c>
    </row>
    <row r="17" spans="1:8" ht="15" customHeight="1">
      <c r="A17" t="s">
        <v>272</v>
      </c>
      <c r="B17" t="s">
        <v>161</v>
      </c>
      <c r="C17" s="37">
        <v>46078.472592592603</v>
      </c>
      <c r="D17">
        <v>4</v>
      </c>
      <c r="E17" t="s">
        <v>238</v>
      </c>
      <c r="F17" s="3" t="s">
        <v>273</v>
      </c>
      <c r="G17" s="3" t="s">
        <v>274</v>
      </c>
      <c r="H17" s="3" t="s">
        <v>275</v>
      </c>
    </row>
    <row r="18" spans="1:8" ht="15" customHeight="1">
      <c r="A18" t="s">
        <v>276</v>
      </c>
      <c r="B18" t="s">
        <v>161</v>
      </c>
      <c r="C18" s="37">
        <v>46078.487164351849</v>
      </c>
      <c r="D18">
        <v>5</v>
      </c>
      <c r="E18" t="s">
        <v>238</v>
      </c>
      <c r="F18" s="3" t="s">
        <v>277</v>
      </c>
      <c r="G18" s="3" t="s">
        <v>278</v>
      </c>
      <c r="H18" s="3" t="s">
        <v>279</v>
      </c>
    </row>
    <row r="19" spans="1:8" ht="15" customHeight="1">
      <c r="A19" t="s">
        <v>280</v>
      </c>
      <c r="B19" t="s">
        <v>161</v>
      </c>
      <c r="C19" s="37">
        <v>46078.495358796303</v>
      </c>
      <c r="D19">
        <v>4</v>
      </c>
      <c r="E19" t="s">
        <v>238</v>
      </c>
      <c r="F19" s="3" t="s">
        <v>281</v>
      </c>
      <c r="G19" s="3" t="s">
        <v>282</v>
      </c>
      <c r="H19" s="3" t="s">
        <v>283</v>
      </c>
    </row>
    <row r="20" spans="1:8" ht="15" customHeight="1">
      <c r="A20" t="s">
        <v>284</v>
      </c>
      <c r="B20" t="s">
        <v>161</v>
      </c>
      <c r="C20" s="37">
        <v>46078.502951388888</v>
      </c>
      <c r="D20">
        <v>5</v>
      </c>
      <c r="E20" t="s">
        <v>238</v>
      </c>
      <c r="F20" s="3" t="s">
        <v>285</v>
      </c>
      <c r="G20" s="3" t="s">
        <v>286</v>
      </c>
      <c r="H20" s="3" t="s">
        <v>287</v>
      </c>
    </row>
    <row r="21" spans="1:8" ht="15" customHeight="1">
      <c r="A21" t="s">
        <v>288</v>
      </c>
      <c r="B21" t="s">
        <v>161</v>
      </c>
      <c r="C21" s="37">
        <v>46078.523726851847</v>
      </c>
      <c r="D21">
        <v>4</v>
      </c>
      <c r="E21" t="s">
        <v>219</v>
      </c>
      <c r="F21" s="3" t="s">
        <v>289</v>
      </c>
      <c r="G21" s="3" t="s">
        <v>290</v>
      </c>
      <c r="H21" s="3" t="s">
        <v>291</v>
      </c>
    </row>
    <row r="22" spans="1:8" ht="15" customHeight="1">
      <c r="A22" t="s">
        <v>292</v>
      </c>
      <c r="B22" t="s">
        <v>161</v>
      </c>
      <c r="C22" s="37">
        <v>46078.63008101852</v>
      </c>
      <c r="D22">
        <v>5</v>
      </c>
      <c r="E22" t="s">
        <v>238</v>
      </c>
      <c r="F22" s="3" t="s">
        <v>293</v>
      </c>
      <c r="G22" s="3" t="s">
        <v>294</v>
      </c>
      <c r="H22" s="3" t="s">
        <v>295</v>
      </c>
    </row>
    <row r="23" spans="1:8" ht="15" customHeight="1">
      <c r="A23" t="s">
        <v>296</v>
      </c>
      <c r="B23" t="s">
        <v>161</v>
      </c>
      <c r="C23" s="37">
        <v>46079.640486111108</v>
      </c>
      <c r="D23">
        <v>5</v>
      </c>
      <c r="E23" t="s">
        <v>238</v>
      </c>
      <c r="F23" s="3" t="s">
        <v>297</v>
      </c>
      <c r="G23" s="3" t="s">
        <v>298</v>
      </c>
      <c r="H23" s="3" t="s">
        <v>299</v>
      </c>
    </row>
    <row r="24" spans="1:8" ht="15" customHeight="1">
      <c r="A24" t="s">
        <v>300</v>
      </c>
      <c r="B24" t="s">
        <v>163</v>
      </c>
      <c r="C24" s="37">
        <v>46099.427256944437</v>
      </c>
      <c r="D24">
        <v>4</v>
      </c>
      <c r="E24" t="s">
        <v>219</v>
      </c>
      <c r="F24" s="3" t="s">
        <v>301</v>
      </c>
      <c r="G24" s="3" t="s">
        <v>302</v>
      </c>
      <c r="H24" s="3" t="s">
        <v>264</v>
      </c>
    </row>
    <row r="25" spans="1:8" ht="15" customHeight="1">
      <c r="A25" t="s">
        <v>303</v>
      </c>
      <c r="B25" t="s">
        <v>163</v>
      </c>
      <c r="C25" s="37">
        <v>46099.430185185192</v>
      </c>
      <c r="D25">
        <v>5</v>
      </c>
      <c r="E25" t="s">
        <v>219</v>
      </c>
      <c r="F25" s="3" t="s">
        <v>304</v>
      </c>
      <c r="G25" s="3" t="s">
        <v>305</v>
      </c>
      <c r="H25" s="3" t="s">
        <v>306</v>
      </c>
    </row>
    <row r="26" spans="1:8" ht="15" customHeight="1">
      <c r="A26" t="s">
        <v>307</v>
      </c>
      <c r="B26" t="s">
        <v>163</v>
      </c>
      <c r="C26" s="37">
        <v>46099.442824074067</v>
      </c>
      <c r="D26">
        <v>4</v>
      </c>
      <c r="E26" t="s">
        <v>219</v>
      </c>
      <c r="F26" s="3" t="s">
        <v>308</v>
      </c>
      <c r="G26" s="3" t="s">
        <v>309</v>
      </c>
      <c r="H26" s="3" t="s">
        <v>310</v>
      </c>
    </row>
    <row r="27" spans="1:8" ht="15" customHeight="1">
      <c r="A27" t="s">
        <v>311</v>
      </c>
      <c r="B27" t="s">
        <v>163</v>
      </c>
      <c r="C27" s="37">
        <v>46099.469328703701</v>
      </c>
      <c r="D27">
        <v>3</v>
      </c>
      <c r="E27" t="s">
        <v>224</v>
      </c>
      <c r="F27" s="3" t="s">
        <v>312</v>
      </c>
      <c r="G27" s="3" t="s">
        <v>313</v>
      </c>
      <c r="H27" s="3" t="s">
        <v>314</v>
      </c>
    </row>
    <row r="28" spans="1:8" ht="15" customHeight="1">
      <c r="A28" t="s">
        <v>315</v>
      </c>
      <c r="B28" t="s">
        <v>163</v>
      </c>
      <c r="C28" s="37">
        <v>46099.510300925933</v>
      </c>
      <c r="D28">
        <v>4</v>
      </c>
      <c r="E28" t="s">
        <v>229</v>
      </c>
      <c r="F28" s="3" t="s">
        <v>316</v>
      </c>
      <c r="G28" s="3" t="s">
        <v>317</v>
      </c>
      <c r="H28" s="3" t="s">
        <v>318</v>
      </c>
    </row>
    <row r="29" spans="1:8" ht="15" customHeight="1">
      <c r="A29" t="s">
        <v>319</v>
      </c>
      <c r="B29" t="s">
        <v>163</v>
      </c>
      <c r="C29" s="37">
        <v>46099.757372685177</v>
      </c>
      <c r="D29">
        <v>5</v>
      </c>
      <c r="E29" t="s">
        <v>219</v>
      </c>
      <c r="F29" s="3" t="s">
        <v>320</v>
      </c>
      <c r="G29" s="3" t="s">
        <v>321</v>
      </c>
      <c r="H29" s="3" t="s">
        <v>322</v>
      </c>
    </row>
    <row r="30" spans="1:8" ht="15" customHeight="1">
      <c r="A30" t="s">
        <v>323</v>
      </c>
      <c r="B30" t="s">
        <v>163</v>
      </c>
      <c r="C30" s="37">
        <v>46099.814618055563</v>
      </c>
      <c r="D30">
        <v>5</v>
      </c>
      <c r="E30" t="s">
        <v>219</v>
      </c>
      <c r="F30" s="3" t="s">
        <v>324</v>
      </c>
      <c r="G30" s="3" t="s">
        <v>325</v>
      </c>
      <c r="H30" s="3" t="s">
        <v>326</v>
      </c>
    </row>
    <row r="31" spans="1:8" ht="15" customHeight="1">
      <c r="A31" t="s">
        <v>327</v>
      </c>
      <c r="B31" t="s">
        <v>163</v>
      </c>
      <c r="C31" s="37">
        <v>46100.419050925928</v>
      </c>
      <c r="D31">
        <v>3</v>
      </c>
      <c r="E31" t="s">
        <v>229</v>
      </c>
      <c r="F31" s="3" t="s">
        <v>328</v>
      </c>
      <c r="G31" s="3" t="s">
        <v>329</v>
      </c>
      <c r="H31" s="3" t="s">
        <v>330</v>
      </c>
    </row>
    <row r="32" spans="1:8" ht="15" customHeight="1">
      <c r="A32" t="s">
        <v>331</v>
      </c>
      <c r="B32" t="s">
        <v>163</v>
      </c>
      <c r="C32" s="37">
        <v>46100.502835648149</v>
      </c>
      <c r="D32">
        <v>5</v>
      </c>
      <c r="E32" t="s">
        <v>219</v>
      </c>
      <c r="F32" s="3" t="s">
        <v>332</v>
      </c>
      <c r="G32" s="3" t="s">
        <v>333</v>
      </c>
      <c r="H32" s="3" t="s">
        <v>334</v>
      </c>
    </row>
    <row r="33" spans="1:8" ht="15" customHeight="1">
      <c r="A33" t="s">
        <v>335</v>
      </c>
      <c r="B33" t="s">
        <v>165</v>
      </c>
      <c r="C33" s="37">
        <v>46149.485127314823</v>
      </c>
      <c r="D33">
        <v>4</v>
      </c>
      <c r="E33" t="s">
        <v>238</v>
      </c>
      <c r="F33" s="3" t="s">
        <v>336</v>
      </c>
      <c r="G33" s="3" t="s">
        <v>337</v>
      </c>
      <c r="H33" s="3" t="s">
        <v>338</v>
      </c>
    </row>
    <row r="34" spans="1:8" ht="15" customHeight="1">
      <c r="A34" t="s">
        <v>339</v>
      </c>
      <c r="B34" t="s">
        <v>165</v>
      </c>
      <c r="C34" s="37">
        <v>46149.73609953704</v>
      </c>
      <c r="D34">
        <v>5</v>
      </c>
      <c r="E34" t="s">
        <v>238</v>
      </c>
      <c r="F34" s="3" t="s">
        <v>340</v>
      </c>
      <c r="G34" s="3" t="s">
        <v>264</v>
      </c>
      <c r="H34" s="3" t="s">
        <v>341</v>
      </c>
    </row>
    <row r="35" spans="1:8" ht="15" customHeight="1">
      <c r="A35" t="s">
        <v>342</v>
      </c>
      <c r="B35" t="s">
        <v>165</v>
      </c>
      <c r="C35" s="37">
        <v>46149.775335648148</v>
      </c>
      <c r="D35">
        <v>5</v>
      </c>
      <c r="E35" t="s">
        <v>238</v>
      </c>
      <c r="F35" s="3" t="s">
        <v>343</v>
      </c>
      <c r="G35" s="3" t="s">
        <v>344</v>
      </c>
      <c r="H35" s="3" t="s">
        <v>345</v>
      </c>
    </row>
    <row r="36" spans="1:8" ht="15" customHeight="1">
      <c r="A36" t="s">
        <v>346</v>
      </c>
      <c r="B36" t="s">
        <v>165</v>
      </c>
      <c r="C36" s="37">
        <v>46149.854363425933</v>
      </c>
      <c r="D36">
        <v>5</v>
      </c>
      <c r="E36" t="s">
        <v>238</v>
      </c>
      <c r="F36" s="3" t="s">
        <v>347</v>
      </c>
      <c r="G36" s="3" t="s">
        <v>348</v>
      </c>
      <c r="H36" s="3" t="s">
        <v>349</v>
      </c>
    </row>
    <row r="37" spans="1:8" ht="15" customHeight="1">
      <c r="A37" t="s">
        <v>350</v>
      </c>
      <c r="B37" t="s">
        <v>165</v>
      </c>
      <c r="C37" s="37">
        <v>46153.438599537039</v>
      </c>
      <c r="D37">
        <v>5</v>
      </c>
      <c r="E37" t="s">
        <v>238</v>
      </c>
      <c r="F37" s="3" t="s">
        <v>351</v>
      </c>
      <c r="G37" s="3" t="s">
        <v>352</v>
      </c>
      <c r="H37" s="3" t="s">
        <v>353</v>
      </c>
    </row>
    <row r="38" spans="1:8" ht="15" customHeight="1">
      <c r="A38" t="s">
        <v>354</v>
      </c>
      <c r="B38" t="s">
        <v>165</v>
      </c>
      <c r="C38" s="37">
        <v>46153.445532407408</v>
      </c>
      <c r="D38">
        <v>5</v>
      </c>
      <c r="E38" t="s">
        <v>238</v>
      </c>
      <c r="F38" s="3" t="s">
        <v>355</v>
      </c>
      <c r="G38" s="3" t="s">
        <v>356</v>
      </c>
      <c r="H38" s="3" t="s">
        <v>357</v>
      </c>
    </row>
    <row r="39" spans="1:8" ht="15" customHeight="1">
      <c r="A39" t="s">
        <v>358</v>
      </c>
      <c r="B39" t="s">
        <v>165</v>
      </c>
      <c r="C39" s="37">
        <v>46155.674340277779</v>
      </c>
      <c r="D39">
        <v>5</v>
      </c>
      <c r="E39" t="s">
        <v>238</v>
      </c>
      <c r="F39" s="3" t="s">
        <v>359</v>
      </c>
      <c r="G39" s="3" t="s">
        <v>360</v>
      </c>
      <c r="H39" s="3" t="s">
        <v>361</v>
      </c>
    </row>
    <row r="40" spans="1:8" ht="15" customHeight="1">
      <c r="A40" t="s">
        <v>362</v>
      </c>
      <c r="B40" t="s">
        <v>167</v>
      </c>
      <c r="C40" s="37">
        <v>46120.41951388889</v>
      </c>
      <c r="D40">
        <v>5</v>
      </c>
      <c r="E40" t="s">
        <v>238</v>
      </c>
      <c r="F40" s="3" t="s">
        <v>363</v>
      </c>
      <c r="G40" s="3" t="s">
        <v>364</v>
      </c>
      <c r="H40" s="3" t="s">
        <v>264</v>
      </c>
    </row>
    <row r="41" spans="1:8" ht="15" customHeight="1">
      <c r="A41" t="s">
        <v>365</v>
      </c>
      <c r="B41" t="s">
        <v>167</v>
      </c>
      <c r="C41" s="37">
        <v>46120.425405092603</v>
      </c>
      <c r="D41">
        <v>4</v>
      </c>
      <c r="E41" t="s">
        <v>238</v>
      </c>
      <c r="F41" s="3" t="s">
        <v>366</v>
      </c>
      <c r="G41" s="3" t="s">
        <v>367</v>
      </c>
      <c r="H41" s="3" t="s">
        <v>368</v>
      </c>
    </row>
    <row r="42" spans="1:8" ht="15" customHeight="1">
      <c r="A42" t="s">
        <v>369</v>
      </c>
      <c r="B42" t="s">
        <v>167</v>
      </c>
      <c r="C42" s="37">
        <v>46120.441296296303</v>
      </c>
      <c r="D42">
        <v>5</v>
      </c>
      <c r="E42" t="s">
        <v>238</v>
      </c>
      <c r="F42" s="3" t="s">
        <v>370</v>
      </c>
      <c r="G42" s="3" t="s">
        <v>371</v>
      </c>
      <c r="H42" s="3" t="s">
        <v>372</v>
      </c>
    </row>
    <row r="43" spans="1:8" ht="15" customHeight="1">
      <c r="A43" t="s">
        <v>373</v>
      </c>
      <c r="B43" t="s">
        <v>167</v>
      </c>
      <c r="C43" s="37">
        <v>46120.489108796297</v>
      </c>
      <c r="D43">
        <v>4</v>
      </c>
      <c r="E43" t="s">
        <v>238</v>
      </c>
      <c r="F43" s="3" t="s">
        <v>343</v>
      </c>
      <c r="G43" s="3" t="s">
        <v>374</v>
      </c>
      <c r="H43" s="3" t="s">
        <v>375</v>
      </c>
    </row>
    <row r="44" spans="1:8" ht="15" customHeight="1">
      <c r="A44" t="s">
        <v>376</v>
      </c>
      <c r="B44" t="s">
        <v>167</v>
      </c>
      <c r="C44" s="37">
        <v>46120.52988425926</v>
      </c>
      <c r="D44">
        <v>5</v>
      </c>
      <c r="E44" t="s">
        <v>238</v>
      </c>
      <c r="F44" s="3" t="s">
        <v>377</v>
      </c>
      <c r="G44" s="3" t="s">
        <v>378</v>
      </c>
      <c r="H44" s="3" t="s">
        <v>379</v>
      </c>
    </row>
    <row r="45" spans="1:8" ht="15" customHeight="1">
      <c r="A45" t="s">
        <v>380</v>
      </c>
      <c r="B45" t="s">
        <v>167</v>
      </c>
      <c r="C45" s="37">
        <v>46120.579733796287</v>
      </c>
      <c r="D45">
        <v>5</v>
      </c>
      <c r="E45" t="s">
        <v>238</v>
      </c>
      <c r="F45" s="3" t="s">
        <v>381</v>
      </c>
      <c r="G45" s="3" t="s">
        <v>382</v>
      </c>
      <c r="H45" s="3" t="s">
        <v>383</v>
      </c>
    </row>
    <row r="46" spans="1:8" ht="15" customHeight="1">
      <c r="A46" t="s">
        <v>384</v>
      </c>
      <c r="B46" t="s">
        <v>169</v>
      </c>
      <c r="C46" s="37">
        <v>46141.470370370371</v>
      </c>
      <c r="D46">
        <v>5</v>
      </c>
      <c r="E46" t="s">
        <v>229</v>
      </c>
      <c r="F46" s="3" t="s">
        <v>385</v>
      </c>
      <c r="G46" s="3" t="s">
        <v>386</v>
      </c>
      <c r="H46" s="3" t="s">
        <v>387</v>
      </c>
    </row>
    <row r="47" spans="1:8" ht="15" customHeight="1">
      <c r="A47" t="s">
        <v>388</v>
      </c>
      <c r="B47" t="s">
        <v>169</v>
      </c>
      <c r="C47" s="37">
        <v>46141.47042824074</v>
      </c>
      <c r="D47">
        <v>5</v>
      </c>
      <c r="E47" t="s">
        <v>238</v>
      </c>
      <c r="F47" s="3" t="s">
        <v>389</v>
      </c>
      <c r="G47" s="3" t="s">
        <v>390</v>
      </c>
      <c r="H47" s="3" t="s">
        <v>391</v>
      </c>
    </row>
    <row r="48" spans="1:8" ht="15" customHeight="1">
      <c r="A48" t="s">
        <v>392</v>
      </c>
      <c r="B48" t="s">
        <v>169</v>
      </c>
      <c r="C48" s="37">
        <v>46141.47488425926</v>
      </c>
      <c r="D48">
        <v>5</v>
      </c>
      <c r="E48" t="s">
        <v>229</v>
      </c>
      <c r="F48" s="3" t="s">
        <v>393</v>
      </c>
      <c r="G48" s="3" t="s">
        <v>394</v>
      </c>
      <c r="H48" s="3" t="s">
        <v>395</v>
      </c>
    </row>
    <row r="49" spans="1:8" ht="15" customHeight="1">
      <c r="A49" t="s">
        <v>396</v>
      </c>
      <c r="B49" t="s">
        <v>169</v>
      </c>
      <c r="C49" s="37">
        <v>46142.540833333333</v>
      </c>
      <c r="D49">
        <v>4</v>
      </c>
      <c r="E49" t="s">
        <v>219</v>
      </c>
      <c r="F49" s="3" t="s">
        <v>397</v>
      </c>
      <c r="G49" s="3" t="s">
        <v>398</v>
      </c>
      <c r="H49" s="3" t="s">
        <v>399</v>
      </c>
    </row>
    <row r="50" spans="1:8" ht="15" customHeight="1">
      <c r="A50" t="s">
        <v>400</v>
      </c>
      <c r="B50" t="s">
        <v>169</v>
      </c>
      <c r="C50" s="37">
        <v>46146.548449074071</v>
      </c>
      <c r="D50">
        <v>2</v>
      </c>
      <c r="E50" t="s">
        <v>224</v>
      </c>
      <c r="F50" s="3" t="s">
        <v>401</v>
      </c>
      <c r="G50" s="3" t="s">
        <v>402</v>
      </c>
      <c r="H50" s="3" t="s">
        <v>224</v>
      </c>
    </row>
    <row r="51" spans="1:8" ht="15" customHeight="1">
      <c r="A51" t="s">
        <v>403</v>
      </c>
      <c r="B51" t="s">
        <v>174</v>
      </c>
      <c r="C51" s="38">
        <v>46204.507465277777</v>
      </c>
      <c r="D51">
        <v>5</v>
      </c>
      <c r="E51" t="s">
        <v>229</v>
      </c>
      <c r="F51" s="3" t="s">
        <v>404</v>
      </c>
      <c r="G51" s="3" t="s">
        <v>405</v>
      </c>
      <c r="H51" s="3" t="s">
        <v>406</v>
      </c>
    </row>
    <row r="52" spans="1:8" ht="15" customHeight="1">
      <c r="A52" t="s">
        <v>407</v>
      </c>
      <c r="B52" t="s">
        <v>174</v>
      </c>
      <c r="C52" s="38">
        <v>46204.515856481477</v>
      </c>
      <c r="D52">
        <v>5</v>
      </c>
      <c r="E52" t="s">
        <v>238</v>
      </c>
      <c r="F52" s="3" t="s">
        <v>408</v>
      </c>
      <c r="G52" s="3" t="s">
        <v>409</v>
      </c>
      <c r="H52" s="3" t="s">
        <v>410</v>
      </c>
    </row>
    <row r="53" spans="1:8" ht="15" customHeight="1">
      <c r="A53" t="s">
        <v>411</v>
      </c>
      <c r="B53" t="s">
        <v>174</v>
      </c>
      <c r="C53" s="38">
        <v>46204.54346064815</v>
      </c>
      <c r="D53">
        <v>5</v>
      </c>
      <c r="E53" t="s">
        <v>238</v>
      </c>
      <c r="F53" s="3" t="s">
        <v>412</v>
      </c>
      <c r="G53" s="3" t="s">
        <v>413</v>
      </c>
      <c r="H53" s="3" t="s">
        <v>414</v>
      </c>
    </row>
    <row r="54" spans="1:8" ht="15" customHeight="1">
      <c r="A54" t="s">
        <v>415</v>
      </c>
      <c r="B54" t="s">
        <v>174</v>
      </c>
      <c r="C54" s="38">
        <v>46204.553935185177</v>
      </c>
      <c r="D54">
        <v>5</v>
      </c>
      <c r="E54" t="s">
        <v>229</v>
      </c>
      <c r="F54" s="3" t="s">
        <v>416</v>
      </c>
      <c r="G54" s="3" t="s">
        <v>417</v>
      </c>
      <c r="H54" s="3" t="s">
        <v>418</v>
      </c>
    </row>
    <row r="55" spans="1:8" ht="15" customHeight="1">
      <c r="A55" t="s">
        <v>419</v>
      </c>
      <c r="B55" t="s">
        <v>174</v>
      </c>
      <c r="C55" s="38">
        <v>46204.670752314807</v>
      </c>
      <c r="D55">
        <v>4</v>
      </c>
      <c r="E55" t="s">
        <v>229</v>
      </c>
      <c r="F55" s="3" t="s">
        <v>420</v>
      </c>
      <c r="G55" s="3" t="s">
        <v>421</v>
      </c>
      <c r="H55" s="3" t="s">
        <v>422</v>
      </c>
    </row>
    <row r="56" spans="1:8" ht="15" customHeight="1">
      <c r="A56" t="s">
        <v>423</v>
      </c>
      <c r="B56" t="s">
        <v>174</v>
      </c>
      <c r="C56" s="38">
        <v>46204.777129629627</v>
      </c>
      <c r="D56">
        <v>5</v>
      </c>
      <c r="E56" t="s">
        <v>238</v>
      </c>
      <c r="F56" s="3" t="s">
        <v>424</v>
      </c>
      <c r="G56" s="3" t="s">
        <v>425</v>
      </c>
      <c r="H56" s="3" t="s">
        <v>426</v>
      </c>
    </row>
    <row r="57" spans="1:8" ht="15" customHeight="1">
      <c r="A57" t="s">
        <v>427</v>
      </c>
      <c r="B57" t="s">
        <v>174</v>
      </c>
      <c r="C57" s="38">
        <v>46210.448425925933</v>
      </c>
      <c r="D57">
        <v>5</v>
      </c>
      <c r="E57" t="s">
        <v>224</v>
      </c>
      <c r="F57" s="3" t="s">
        <v>428</v>
      </c>
      <c r="G57" s="3" t="s">
        <v>429</v>
      </c>
      <c r="H57" s="3" t="s">
        <v>430</v>
      </c>
    </row>
    <row r="58" spans="1:8" ht="15" customHeight="1">
      <c r="A58" t="s">
        <v>431</v>
      </c>
      <c r="B58" t="s">
        <v>177</v>
      </c>
      <c r="C58" s="38">
        <v>46211.51</v>
      </c>
      <c r="D58">
        <v>5</v>
      </c>
      <c r="E58" t="s">
        <v>238</v>
      </c>
      <c r="F58" s="3" t="s">
        <v>432</v>
      </c>
      <c r="G58" s="3" t="s">
        <v>433</v>
      </c>
      <c r="H58" s="3"/>
    </row>
    <row r="59" spans="1:8" ht="15" customHeight="1">
      <c r="A59" t="s">
        <v>434</v>
      </c>
      <c r="B59" t="s">
        <v>177</v>
      </c>
      <c r="C59" s="38">
        <v>46211.512777777767</v>
      </c>
      <c r="D59">
        <v>5</v>
      </c>
      <c r="E59" t="s">
        <v>238</v>
      </c>
      <c r="F59" s="3" t="s">
        <v>435</v>
      </c>
      <c r="G59" s="3" t="s">
        <v>436</v>
      </c>
      <c r="H59" s="3" t="s">
        <v>437</v>
      </c>
    </row>
    <row r="60" spans="1:8" ht="15" customHeight="1">
      <c r="A60" t="s">
        <v>438</v>
      </c>
      <c r="B60" t="s">
        <v>177</v>
      </c>
      <c r="C60" s="38">
        <v>46211.517847222232</v>
      </c>
      <c r="D60">
        <v>5</v>
      </c>
      <c r="E60" t="s">
        <v>219</v>
      </c>
      <c r="F60" s="3" t="s">
        <v>439</v>
      </c>
      <c r="G60" s="3" t="s">
        <v>440</v>
      </c>
      <c r="H60" s="3"/>
    </row>
    <row r="61" spans="1:8" ht="15" customHeight="1">
      <c r="A61" t="s">
        <v>441</v>
      </c>
      <c r="B61" t="s">
        <v>177</v>
      </c>
      <c r="C61" s="38">
        <v>46211.536099537043</v>
      </c>
      <c r="D61">
        <v>5</v>
      </c>
      <c r="E61" t="s">
        <v>238</v>
      </c>
      <c r="F61" s="3" t="s">
        <v>442</v>
      </c>
      <c r="G61" s="3" t="s">
        <v>264</v>
      </c>
      <c r="H61" s="3"/>
    </row>
    <row r="62" spans="1:8" ht="15" customHeight="1">
      <c r="A62" t="s">
        <v>443</v>
      </c>
      <c r="B62" t="s">
        <v>177</v>
      </c>
      <c r="C62" s="38">
        <v>46211.586967592593</v>
      </c>
      <c r="D62">
        <v>5</v>
      </c>
      <c r="E62" t="s">
        <v>238</v>
      </c>
      <c r="F62" s="3" t="s">
        <v>444</v>
      </c>
      <c r="G62" s="3" t="s">
        <v>445</v>
      </c>
      <c r="H62" s="3" t="s">
        <v>446</v>
      </c>
    </row>
    <row r="63" spans="1:8" ht="15" customHeight="1">
      <c r="A63" t="s">
        <v>447</v>
      </c>
      <c r="B63" t="s">
        <v>177</v>
      </c>
      <c r="C63" s="38">
        <v>46211.669247685182</v>
      </c>
      <c r="D63">
        <v>4</v>
      </c>
      <c r="E63" t="s">
        <v>238</v>
      </c>
      <c r="F63" s="3" t="s">
        <v>448</v>
      </c>
      <c r="G63" s="3" t="s">
        <v>449</v>
      </c>
      <c r="H63" s="3" t="s">
        <v>450</v>
      </c>
    </row>
    <row r="64" spans="1:8" ht="15" customHeight="1">
      <c r="A64" t="s">
        <v>451</v>
      </c>
      <c r="B64" t="s">
        <v>177</v>
      </c>
      <c r="C64" s="38">
        <v>46211.783333333333</v>
      </c>
      <c r="D64">
        <v>5</v>
      </c>
      <c r="E64" t="s">
        <v>238</v>
      </c>
      <c r="F64" s="3" t="s">
        <v>452</v>
      </c>
      <c r="G64" s="3" t="s">
        <v>453</v>
      </c>
      <c r="H64" s="3"/>
    </row>
    <row r="65" spans="1:8" ht="15" customHeight="1">
      <c r="A65" t="s">
        <v>454</v>
      </c>
      <c r="B65" t="s">
        <v>177</v>
      </c>
      <c r="C65" s="38">
        <v>46212.457812499997</v>
      </c>
      <c r="D65">
        <v>5</v>
      </c>
      <c r="E65" t="s">
        <v>219</v>
      </c>
      <c r="F65" s="3" t="s">
        <v>455</v>
      </c>
      <c r="G65" s="3" t="s">
        <v>456</v>
      </c>
      <c r="H65" s="3" t="s">
        <v>457</v>
      </c>
    </row>
    <row r="66" spans="1:8" ht="15" customHeight="1">
      <c r="A66" t="s">
        <v>458</v>
      </c>
      <c r="B66" t="s">
        <v>177</v>
      </c>
      <c r="C66" s="38">
        <v>46212.722337962958</v>
      </c>
      <c r="D66">
        <v>5</v>
      </c>
      <c r="E66" t="s">
        <v>238</v>
      </c>
      <c r="F66" s="3" t="s">
        <v>459</v>
      </c>
      <c r="G66" s="3" t="s">
        <v>460</v>
      </c>
      <c r="H66" s="3"/>
    </row>
    <row r="67" spans="1:8" ht="15" customHeight="1">
      <c r="C67" s="37"/>
      <c r="F67" s="3"/>
      <c r="G67" s="3"/>
      <c r="H67" s="3"/>
    </row>
    <row r="68" spans="1:8" ht="15" customHeight="1">
      <c r="C68" s="37"/>
      <c r="F68" s="3"/>
      <c r="G68" s="3"/>
      <c r="H68" s="3"/>
    </row>
    <row r="69" spans="1:8" ht="15" customHeight="1">
      <c r="C69" s="37"/>
      <c r="F69" s="3"/>
      <c r="G69" s="3"/>
      <c r="H69" s="3"/>
    </row>
    <row r="70" spans="1:8" ht="15" customHeight="1">
      <c r="C70" s="37"/>
      <c r="F70" s="3"/>
      <c r="G70" s="3"/>
      <c r="H70" s="3"/>
    </row>
    <row r="71" spans="1:8" ht="15" customHeight="1">
      <c r="C71" s="37"/>
      <c r="F71" s="3"/>
      <c r="G71" s="3"/>
      <c r="H71" s="3"/>
    </row>
    <row r="72" spans="1:8" ht="15" customHeight="1">
      <c r="C72" s="37"/>
      <c r="F72" s="3"/>
      <c r="G72" s="3"/>
      <c r="H72" s="3"/>
    </row>
    <row r="73" spans="1:8" ht="15" customHeight="1">
      <c r="C73" s="37"/>
      <c r="F73" s="3"/>
      <c r="G73" s="3"/>
      <c r="H73" s="3"/>
    </row>
    <row r="74" spans="1:8" ht="15" customHeight="1">
      <c r="C74" s="37"/>
      <c r="F74" s="3"/>
      <c r="G74" s="3"/>
      <c r="H74" s="3"/>
    </row>
    <row r="75" spans="1:8" ht="15" customHeight="1">
      <c r="C75" s="37"/>
      <c r="F75" s="3"/>
      <c r="G75" s="3"/>
      <c r="H75" s="3"/>
    </row>
    <row r="76" spans="1:8" ht="15" customHeight="1">
      <c r="C76" s="37"/>
      <c r="F76" s="3"/>
      <c r="G76" s="3"/>
      <c r="H76" s="3"/>
    </row>
    <row r="77" spans="1:8" ht="15" customHeight="1">
      <c r="C77" s="37"/>
      <c r="F77" s="3"/>
      <c r="G77" s="3"/>
      <c r="H77" s="3"/>
    </row>
    <row r="78" spans="1:8" ht="15" customHeight="1">
      <c r="C78" s="37"/>
      <c r="F78" s="3"/>
      <c r="G78" s="3"/>
      <c r="H78" s="3"/>
    </row>
    <row r="79" spans="1:8" ht="15" customHeight="1">
      <c r="C79" s="37"/>
      <c r="F79" s="3"/>
      <c r="G79" s="3"/>
      <c r="H79" s="3"/>
    </row>
    <row r="80" spans="1:8" ht="15" customHeight="1">
      <c r="C80" s="37"/>
      <c r="F80" s="3"/>
      <c r="G80" s="3"/>
      <c r="H80" s="3"/>
    </row>
    <row r="81" spans="3:8" ht="15" customHeight="1">
      <c r="C81" s="37"/>
      <c r="F81" s="3"/>
      <c r="G81" s="3"/>
      <c r="H81" s="3"/>
    </row>
    <row r="82" spans="3:8" ht="15" customHeight="1">
      <c r="C82" s="37"/>
      <c r="F82" s="3"/>
      <c r="G82" s="3"/>
      <c r="H82" s="3"/>
    </row>
    <row r="83" spans="3:8" ht="15" customHeight="1">
      <c r="C83" s="37"/>
      <c r="F83" s="3"/>
      <c r="G83" s="3"/>
      <c r="H83" s="3"/>
    </row>
    <row r="84" spans="3:8" ht="15" customHeight="1">
      <c r="C84" s="37"/>
      <c r="F84" s="3"/>
      <c r="G84" s="3"/>
      <c r="H84" s="3"/>
    </row>
    <row r="85" spans="3:8" ht="15" customHeight="1">
      <c r="C85" s="37"/>
      <c r="F85" s="3"/>
      <c r="G85" s="3"/>
      <c r="H85" s="3"/>
    </row>
    <row r="86" spans="3:8" ht="15" customHeight="1">
      <c r="C86" s="37"/>
      <c r="F86" s="3"/>
      <c r="G86" s="3"/>
      <c r="H86" s="3"/>
    </row>
    <row r="87" spans="3:8" ht="15" customHeight="1">
      <c r="C87" s="37"/>
      <c r="F87" s="3"/>
      <c r="G87" s="3"/>
      <c r="H87" s="3"/>
    </row>
    <row r="88" spans="3:8" ht="15" customHeight="1">
      <c r="C88" s="37"/>
      <c r="F88" s="3"/>
      <c r="G88" s="3"/>
      <c r="H88" s="3"/>
    </row>
    <row r="89" spans="3:8" ht="15" customHeight="1">
      <c r="C89" s="37"/>
      <c r="F89" s="3"/>
      <c r="G89" s="3"/>
      <c r="H89" s="3"/>
    </row>
    <row r="90" spans="3:8" ht="15" customHeight="1">
      <c r="C90" s="37"/>
      <c r="F90" s="3"/>
      <c r="G90" s="3"/>
      <c r="H90" s="3"/>
    </row>
    <row r="91" spans="3:8" ht="15" customHeight="1">
      <c r="C91" s="37"/>
      <c r="F91" s="3"/>
      <c r="G91" s="3"/>
      <c r="H91" s="3"/>
    </row>
    <row r="92" spans="3:8" ht="15" customHeight="1">
      <c r="C92" s="37"/>
      <c r="F92" s="3"/>
      <c r="G92" s="3"/>
      <c r="H92" s="3"/>
    </row>
    <row r="93" spans="3:8" ht="15" customHeight="1">
      <c r="C93" s="37"/>
      <c r="F93" s="3"/>
      <c r="G93" s="3"/>
      <c r="H93" s="3"/>
    </row>
    <row r="94" spans="3:8" ht="15" customHeight="1">
      <c r="C94" s="37"/>
      <c r="F94" s="3"/>
      <c r="G94" s="3"/>
      <c r="H94" s="3"/>
    </row>
    <row r="95" spans="3:8" ht="15" customHeight="1">
      <c r="C95" s="37"/>
      <c r="F95" s="3"/>
      <c r="G95" s="3"/>
      <c r="H95" s="3"/>
    </row>
    <row r="96" spans="3:8" ht="15" customHeight="1">
      <c r="C96" s="37"/>
      <c r="F96" s="3"/>
      <c r="G96" s="3"/>
      <c r="H96" s="3"/>
    </row>
    <row r="97" spans="3:8" ht="15" customHeight="1">
      <c r="C97" s="37"/>
      <c r="F97" s="3"/>
      <c r="G97" s="3"/>
      <c r="H97" s="3"/>
    </row>
    <row r="98" spans="3:8" ht="15" customHeight="1">
      <c r="C98" s="37"/>
      <c r="F98" s="3"/>
      <c r="G98" s="3"/>
      <c r="H98" s="3"/>
    </row>
    <row r="99" spans="3:8" ht="15" customHeight="1">
      <c r="C99" s="37"/>
      <c r="F99" s="3"/>
      <c r="G99" s="3"/>
      <c r="H99" s="3"/>
    </row>
    <row r="100" spans="3:8" ht="15" customHeight="1">
      <c r="C100" s="37"/>
      <c r="F100" s="3"/>
      <c r="G100" s="3"/>
      <c r="H100" s="3"/>
    </row>
    <row r="101" spans="3:8" ht="15" customHeight="1">
      <c r="C101" s="37"/>
      <c r="F101" s="3"/>
      <c r="G101" s="3"/>
      <c r="H101" s="3"/>
    </row>
    <row r="102" spans="3:8" ht="15" customHeight="1">
      <c r="C102" s="37"/>
      <c r="F102" s="3"/>
      <c r="G102" s="3"/>
      <c r="H102" s="3"/>
    </row>
    <row r="103" spans="3:8" ht="15" customHeight="1">
      <c r="C103" s="37"/>
      <c r="F103" s="3"/>
      <c r="G103" s="3"/>
      <c r="H103" s="3"/>
    </row>
    <row r="104" spans="3:8" ht="15" customHeight="1">
      <c r="C104" s="37"/>
      <c r="F104" s="3"/>
      <c r="G104" s="3"/>
      <c r="H104" s="3"/>
    </row>
    <row r="105" spans="3:8" ht="15" customHeight="1">
      <c r="C105" s="37"/>
      <c r="F105" s="3"/>
      <c r="G105" s="3"/>
      <c r="H105" s="3"/>
    </row>
    <row r="106" spans="3:8" ht="15" customHeight="1">
      <c r="C106" s="37"/>
      <c r="F106" s="3"/>
      <c r="G106" s="3"/>
      <c r="H106" s="3"/>
    </row>
    <row r="107" spans="3:8" ht="15" customHeight="1">
      <c r="C107" s="37"/>
      <c r="F107" s="3"/>
      <c r="G107" s="3"/>
      <c r="H107" s="3"/>
    </row>
    <row r="108" spans="3:8" ht="15" customHeight="1">
      <c r="C108" s="37"/>
      <c r="F108" s="3"/>
      <c r="G108" s="3"/>
      <c r="H108" s="3"/>
    </row>
    <row r="109" spans="3:8" ht="15" customHeight="1">
      <c r="C109" s="37"/>
      <c r="F109" s="3"/>
      <c r="G109" s="3"/>
      <c r="H109" s="3"/>
    </row>
    <row r="110" spans="3:8" ht="15" customHeight="1">
      <c r="C110" s="37"/>
      <c r="F110" s="3"/>
      <c r="G110" s="3"/>
      <c r="H110" s="3"/>
    </row>
    <row r="111" spans="3:8" ht="15" customHeight="1">
      <c r="C111" s="37"/>
      <c r="F111" s="3"/>
      <c r="G111" s="3"/>
      <c r="H111" s="3"/>
    </row>
    <row r="112" spans="3:8" ht="15" customHeight="1">
      <c r="C112" s="37"/>
      <c r="F112" s="3"/>
      <c r="G112" s="3"/>
      <c r="H112" s="3"/>
    </row>
    <row r="113" spans="3:8" ht="15" customHeight="1">
      <c r="C113" s="37"/>
      <c r="F113" s="3"/>
      <c r="G113" s="3"/>
      <c r="H113" s="3"/>
    </row>
    <row r="114" spans="3:8" ht="15" customHeight="1">
      <c r="C114" s="37"/>
      <c r="F114" s="3"/>
      <c r="G114" s="3"/>
      <c r="H114" s="3"/>
    </row>
    <row r="115" spans="3:8" ht="15" customHeight="1">
      <c r="C115" s="37"/>
      <c r="F115" s="3"/>
      <c r="G115" s="3"/>
      <c r="H115" s="3"/>
    </row>
    <row r="116" spans="3:8" ht="15" customHeight="1">
      <c r="C116" s="37"/>
      <c r="F116" s="3"/>
      <c r="G116" s="3"/>
      <c r="H116" s="3"/>
    </row>
    <row r="117" spans="3:8" ht="15" customHeight="1">
      <c r="C117" s="37"/>
      <c r="F117" s="3"/>
      <c r="G117" s="3"/>
      <c r="H117" s="3"/>
    </row>
    <row r="118" spans="3:8" ht="15" customHeight="1">
      <c r="C118" s="37"/>
      <c r="F118" s="3"/>
      <c r="G118" s="3"/>
      <c r="H118" s="3"/>
    </row>
    <row r="119" spans="3:8" ht="15" customHeight="1">
      <c r="C119" s="37"/>
      <c r="F119" s="3"/>
      <c r="G119" s="3"/>
      <c r="H119" s="3"/>
    </row>
    <row r="120" spans="3:8" ht="15" customHeight="1">
      <c r="C120" s="37"/>
      <c r="F120" s="3"/>
      <c r="G120" s="3"/>
      <c r="H120" s="3"/>
    </row>
    <row r="121" spans="3:8" ht="15" customHeight="1">
      <c r="C121" s="37"/>
      <c r="F121" s="3"/>
      <c r="G121" s="3"/>
      <c r="H121" s="3"/>
    </row>
    <row r="122" spans="3:8" ht="15" customHeight="1">
      <c r="C122" s="37"/>
      <c r="F122" s="3"/>
      <c r="G122" s="3"/>
      <c r="H122" s="3"/>
    </row>
    <row r="123" spans="3:8" ht="15" customHeight="1">
      <c r="C123" s="37"/>
      <c r="F123" s="3"/>
      <c r="G123" s="3"/>
      <c r="H123" s="3"/>
    </row>
    <row r="124" spans="3:8" ht="15" customHeight="1">
      <c r="C124" s="37"/>
      <c r="F124" s="3"/>
      <c r="G124" s="3"/>
      <c r="H124" s="3"/>
    </row>
    <row r="125" spans="3:8" ht="15" customHeight="1">
      <c r="C125" s="37"/>
      <c r="F125" s="3"/>
      <c r="G125" s="3"/>
      <c r="H125" s="3"/>
    </row>
    <row r="126" spans="3:8" ht="15" customHeight="1">
      <c r="C126" s="37"/>
      <c r="F126" s="3"/>
      <c r="G126" s="3"/>
      <c r="H126" s="3"/>
    </row>
    <row r="127" spans="3:8" ht="15" customHeight="1">
      <c r="C127" s="37"/>
      <c r="F127" s="3"/>
      <c r="G127" s="3"/>
      <c r="H127" s="3"/>
    </row>
    <row r="128" spans="3:8" ht="15" customHeight="1">
      <c r="C128" s="37"/>
      <c r="F128" s="3"/>
      <c r="G128" s="3"/>
      <c r="H128" s="3"/>
    </row>
    <row r="129" spans="3:8" ht="15" customHeight="1">
      <c r="C129" s="37"/>
      <c r="F129" s="3"/>
      <c r="G129" s="3"/>
      <c r="H129" s="3"/>
    </row>
    <row r="130" spans="3:8" ht="15" customHeight="1">
      <c r="C130" s="37"/>
      <c r="F130" s="3"/>
      <c r="G130" s="3"/>
      <c r="H130" s="3"/>
    </row>
    <row r="131" spans="3:8" ht="15" customHeight="1">
      <c r="C131" s="37"/>
      <c r="F131" s="3"/>
      <c r="G131" s="3"/>
      <c r="H131" s="3"/>
    </row>
    <row r="132" spans="3:8" ht="15" customHeight="1">
      <c r="C132" s="37"/>
      <c r="F132" s="3"/>
      <c r="G132" s="3"/>
      <c r="H132" s="3"/>
    </row>
    <row r="133" spans="3:8" ht="15" customHeight="1">
      <c r="C133" s="37"/>
      <c r="F133" s="3"/>
      <c r="G133" s="3"/>
      <c r="H133" s="3"/>
    </row>
    <row r="134" spans="3:8" ht="15" customHeight="1">
      <c r="C134" s="37"/>
      <c r="F134" s="3"/>
      <c r="G134" s="3"/>
      <c r="H134" s="3"/>
    </row>
    <row r="135" spans="3:8" ht="15" customHeight="1">
      <c r="C135" s="37"/>
      <c r="F135" s="3"/>
      <c r="G135" s="3"/>
      <c r="H135" s="3"/>
    </row>
    <row r="136" spans="3:8" ht="15" customHeight="1">
      <c r="C136" s="37"/>
      <c r="F136" s="3"/>
      <c r="G136" s="3"/>
      <c r="H136" s="3"/>
    </row>
    <row r="137" spans="3:8" ht="15" customHeight="1">
      <c r="C137" s="37"/>
      <c r="F137" s="3"/>
      <c r="G137" s="3"/>
      <c r="H137" s="3"/>
    </row>
    <row r="138" spans="3:8" ht="15" customHeight="1">
      <c r="C138" s="37"/>
      <c r="F138" s="3"/>
      <c r="G138" s="3"/>
      <c r="H138" s="3"/>
    </row>
    <row r="139" spans="3:8" ht="15" customHeight="1">
      <c r="C139" s="37"/>
      <c r="F139" s="3"/>
      <c r="G139" s="3"/>
      <c r="H139" s="3"/>
    </row>
    <row r="140" spans="3:8" ht="15" customHeight="1">
      <c r="C140" s="37"/>
      <c r="F140" s="3"/>
      <c r="G140" s="3"/>
      <c r="H140" s="3"/>
    </row>
    <row r="141" spans="3:8" ht="15" customHeight="1">
      <c r="C141" s="37"/>
      <c r="F141" s="3"/>
      <c r="G141" s="3"/>
      <c r="H141" s="3"/>
    </row>
    <row r="142" spans="3:8" ht="15" customHeight="1">
      <c r="C142" s="37"/>
      <c r="F142" s="3"/>
      <c r="G142" s="3"/>
      <c r="H142" s="3"/>
    </row>
    <row r="143" spans="3:8" ht="15" customHeight="1">
      <c r="C143" s="37"/>
      <c r="F143" s="3"/>
      <c r="G143" s="3"/>
      <c r="H143" s="3"/>
    </row>
    <row r="144" spans="3:8" ht="15" customHeight="1">
      <c r="C144" s="37"/>
      <c r="F144" s="3"/>
      <c r="G144" s="3"/>
      <c r="H144" s="3"/>
    </row>
    <row r="145" spans="3:8" ht="15" customHeight="1">
      <c r="C145" s="37"/>
      <c r="F145" s="3"/>
      <c r="G145" s="3"/>
      <c r="H145" s="3"/>
    </row>
    <row r="146" spans="3:8" ht="15" customHeight="1">
      <c r="C146" s="37"/>
      <c r="F146" s="3"/>
      <c r="G146" s="3"/>
      <c r="H146" s="3"/>
    </row>
    <row r="147" spans="3:8" ht="15" customHeight="1">
      <c r="C147" s="37"/>
      <c r="F147" s="3"/>
      <c r="G147" s="3"/>
      <c r="H147" s="3"/>
    </row>
    <row r="148" spans="3:8" ht="15" customHeight="1">
      <c r="C148" s="37"/>
      <c r="F148" s="3"/>
      <c r="G148" s="3"/>
      <c r="H148" s="3"/>
    </row>
    <row r="149" spans="3:8" ht="15" customHeight="1">
      <c r="C149" s="37"/>
      <c r="F149" s="3"/>
      <c r="G149" s="3"/>
      <c r="H149" s="3"/>
    </row>
    <row r="150" spans="3:8" ht="15" customHeight="1">
      <c r="C150" s="37"/>
      <c r="F150" s="3"/>
      <c r="G150" s="3"/>
      <c r="H150" s="3"/>
    </row>
    <row r="151" spans="3:8" ht="15" customHeight="1">
      <c r="C151" s="37"/>
      <c r="F151" s="3"/>
      <c r="G151" s="3"/>
      <c r="H151" s="3"/>
    </row>
    <row r="152" spans="3:8" ht="15" customHeight="1">
      <c r="C152" s="37"/>
      <c r="F152" s="3"/>
      <c r="G152" s="3"/>
      <c r="H152" s="3"/>
    </row>
    <row r="153" spans="3:8" ht="15" customHeight="1">
      <c r="C153" s="37"/>
      <c r="F153" s="3"/>
      <c r="G153" s="3"/>
      <c r="H153" s="3"/>
    </row>
    <row r="154" spans="3:8" ht="15" customHeight="1">
      <c r="C154" s="37"/>
      <c r="F154" s="3"/>
      <c r="G154" s="3"/>
      <c r="H154" s="3"/>
    </row>
    <row r="155" spans="3:8" ht="15" customHeight="1">
      <c r="C155" s="37"/>
      <c r="F155" s="3"/>
      <c r="G155" s="3"/>
      <c r="H155" s="3"/>
    </row>
    <row r="156" spans="3:8" ht="15" customHeight="1">
      <c r="C156" s="37"/>
      <c r="F156" s="3"/>
      <c r="G156" s="3"/>
      <c r="H156" s="3"/>
    </row>
    <row r="157" spans="3:8" ht="15" customHeight="1">
      <c r="C157" s="37"/>
      <c r="F157" s="3"/>
      <c r="G157" s="3"/>
      <c r="H157" s="3"/>
    </row>
    <row r="158" spans="3:8" ht="15" customHeight="1">
      <c r="C158" s="37"/>
      <c r="F158" s="3"/>
      <c r="G158" s="3"/>
      <c r="H158" s="3"/>
    </row>
    <row r="159" spans="3:8" ht="15" customHeight="1">
      <c r="C159" s="37"/>
      <c r="F159" s="3"/>
      <c r="G159" s="3"/>
      <c r="H159" s="3"/>
    </row>
    <row r="160" spans="3:8" ht="15" customHeight="1">
      <c r="C160" s="37"/>
      <c r="F160" s="3"/>
      <c r="G160" s="3"/>
      <c r="H160" s="3"/>
    </row>
    <row r="161" spans="3:8" ht="15" customHeight="1">
      <c r="C161" s="37"/>
      <c r="F161" s="3"/>
      <c r="G161" s="3"/>
      <c r="H161" s="3"/>
    </row>
    <row r="162" spans="3:8" ht="15" customHeight="1">
      <c r="C162" s="37"/>
      <c r="F162" s="3"/>
      <c r="G162" s="3"/>
      <c r="H162" s="3"/>
    </row>
    <row r="163" spans="3:8" ht="15" customHeight="1">
      <c r="C163" s="37"/>
      <c r="F163" s="3"/>
      <c r="G163" s="3"/>
      <c r="H163" s="3"/>
    </row>
    <row r="164" spans="3:8" ht="15" customHeight="1">
      <c r="C164" s="37"/>
      <c r="F164" s="3"/>
      <c r="G164" s="3"/>
      <c r="H164" s="3"/>
    </row>
    <row r="165" spans="3:8" ht="15" customHeight="1">
      <c r="C165" s="37"/>
      <c r="F165" s="3"/>
      <c r="G165" s="3"/>
      <c r="H165" s="3"/>
    </row>
    <row r="166" spans="3:8" ht="15" customHeight="1">
      <c r="C166" s="37"/>
      <c r="F166" s="3"/>
      <c r="G166" s="3"/>
      <c r="H166" s="3"/>
    </row>
    <row r="167" spans="3:8" ht="15" customHeight="1">
      <c r="C167" s="37"/>
      <c r="F167" s="3"/>
      <c r="G167" s="3"/>
      <c r="H167" s="3"/>
    </row>
    <row r="168" spans="3:8" ht="15" customHeight="1">
      <c r="C168" s="37"/>
      <c r="F168" s="3"/>
      <c r="G168" s="3"/>
      <c r="H168" s="3"/>
    </row>
    <row r="169" spans="3:8" ht="15" customHeight="1">
      <c r="C169" s="37"/>
      <c r="F169" s="3"/>
      <c r="G169" s="3"/>
      <c r="H169" s="3"/>
    </row>
    <row r="170" spans="3:8" ht="15" customHeight="1">
      <c r="C170" s="37"/>
      <c r="F170" s="3"/>
      <c r="G170" s="3"/>
      <c r="H170" s="3"/>
    </row>
    <row r="171" spans="3:8" ht="15" customHeight="1">
      <c r="C171" s="37"/>
      <c r="F171" s="3"/>
      <c r="G171" s="3"/>
      <c r="H171" s="3"/>
    </row>
    <row r="172" spans="3:8" ht="15" customHeight="1">
      <c r="C172" s="37"/>
      <c r="F172" s="3"/>
      <c r="G172" s="3"/>
      <c r="H172" s="3"/>
    </row>
    <row r="173" spans="3:8" ht="15" customHeight="1">
      <c r="C173" s="37"/>
      <c r="F173" s="3"/>
      <c r="G173" s="3"/>
      <c r="H173" s="3"/>
    </row>
    <row r="174" spans="3:8" ht="15" customHeight="1">
      <c r="C174" s="37"/>
      <c r="F174" s="3"/>
      <c r="G174" s="3"/>
      <c r="H174" s="3"/>
    </row>
    <row r="175" spans="3:8" ht="15" customHeight="1">
      <c r="C175" s="37"/>
      <c r="F175" s="3"/>
      <c r="G175" s="3"/>
      <c r="H175" s="3"/>
    </row>
    <row r="176" spans="3:8" ht="15" customHeight="1">
      <c r="C176" s="37"/>
      <c r="F176" s="3"/>
      <c r="G176" s="3"/>
      <c r="H176" s="3"/>
    </row>
    <row r="177" spans="3:8" ht="15" customHeight="1">
      <c r="C177" s="37"/>
      <c r="F177" s="3"/>
      <c r="G177" s="3"/>
      <c r="H177" s="3"/>
    </row>
    <row r="178" spans="3:8" ht="15" customHeight="1">
      <c r="C178" s="37"/>
      <c r="F178" s="3"/>
      <c r="G178" s="3"/>
      <c r="H178" s="3"/>
    </row>
    <row r="179" spans="3:8" ht="15" customHeight="1">
      <c r="C179" s="37"/>
      <c r="F179" s="3"/>
      <c r="G179" s="3"/>
      <c r="H179" s="3"/>
    </row>
    <row r="180" spans="3:8" ht="15" customHeight="1">
      <c r="C180" s="37"/>
      <c r="F180" s="3"/>
      <c r="G180" s="3"/>
      <c r="H180" s="3"/>
    </row>
    <row r="181" spans="3:8" ht="15" customHeight="1">
      <c r="C181" s="37"/>
      <c r="F181" s="3"/>
      <c r="G181" s="3"/>
      <c r="H181" s="3"/>
    </row>
    <row r="182" spans="3:8" ht="15" customHeight="1">
      <c r="C182" s="37"/>
      <c r="F182" s="3"/>
      <c r="G182" s="3"/>
      <c r="H182" s="3"/>
    </row>
    <row r="183" spans="3:8" ht="15" customHeight="1">
      <c r="C183" s="37"/>
      <c r="F183" s="3"/>
      <c r="G183" s="3"/>
      <c r="H183" s="3"/>
    </row>
    <row r="184" spans="3:8" ht="15" customHeight="1">
      <c r="C184" s="37"/>
      <c r="F184" s="3"/>
      <c r="G184" s="3"/>
      <c r="H184" s="3"/>
    </row>
    <row r="185" spans="3:8" ht="15" customHeight="1">
      <c r="C185" s="37"/>
      <c r="F185" s="3"/>
      <c r="G185" s="3"/>
      <c r="H185" s="3"/>
    </row>
    <row r="186" spans="3:8" ht="15" customHeight="1">
      <c r="C186" s="37"/>
      <c r="F186" s="3"/>
      <c r="G186" s="3"/>
      <c r="H186" s="3"/>
    </row>
    <row r="187" spans="3:8" ht="15" customHeight="1">
      <c r="C187" s="37"/>
      <c r="F187" s="3"/>
      <c r="G187" s="3"/>
      <c r="H187" s="3"/>
    </row>
    <row r="188" spans="3:8" ht="15" customHeight="1">
      <c r="C188" s="37"/>
      <c r="F188" s="3"/>
      <c r="G188" s="3"/>
      <c r="H188" s="3"/>
    </row>
    <row r="189" spans="3:8" ht="15" customHeight="1">
      <c r="C189" s="37"/>
      <c r="F189" s="3"/>
      <c r="G189" s="3"/>
      <c r="H189" s="3"/>
    </row>
    <row r="190" spans="3:8" ht="15" customHeight="1">
      <c r="C190" s="37"/>
      <c r="F190" s="3"/>
      <c r="G190" s="3"/>
      <c r="H190" s="3"/>
    </row>
    <row r="191" spans="3:8" ht="15" customHeight="1">
      <c r="C191" s="37"/>
      <c r="F191" s="3"/>
      <c r="G191" s="3"/>
      <c r="H191" s="3"/>
    </row>
    <row r="192" spans="3:8" ht="15" customHeight="1">
      <c r="C192" s="37"/>
      <c r="F192" s="3"/>
      <c r="G192" s="3"/>
      <c r="H192" s="3"/>
    </row>
    <row r="193" spans="3:8" ht="15" customHeight="1">
      <c r="C193" s="37"/>
      <c r="F193" s="3"/>
      <c r="G193" s="3"/>
      <c r="H193" s="3"/>
    </row>
    <row r="194" spans="3:8" ht="15" customHeight="1">
      <c r="C194" s="37"/>
      <c r="F194" s="3"/>
      <c r="G194" s="3"/>
      <c r="H194" s="3"/>
    </row>
    <row r="195" spans="3:8" ht="15" customHeight="1">
      <c r="C195" s="37"/>
      <c r="F195" s="3"/>
      <c r="G195" s="3"/>
      <c r="H195" s="3"/>
    </row>
    <row r="196" spans="3:8" ht="15" customHeight="1">
      <c r="C196" s="37"/>
      <c r="F196" s="3"/>
      <c r="G196" s="3"/>
      <c r="H196" s="3"/>
    </row>
    <row r="197" spans="3:8" ht="15" customHeight="1">
      <c r="C197" s="37"/>
      <c r="F197" s="3"/>
      <c r="G197" s="3"/>
      <c r="H197" s="3"/>
    </row>
    <row r="198" spans="3:8" ht="15" customHeight="1">
      <c r="C198" s="37"/>
      <c r="F198" s="3"/>
      <c r="G198" s="3"/>
      <c r="H198" s="3"/>
    </row>
    <row r="199" spans="3:8" ht="15" customHeight="1">
      <c r="C199" s="37"/>
      <c r="F199" s="3"/>
      <c r="G199" s="3"/>
      <c r="H199" s="3"/>
    </row>
    <row r="200" spans="3:8" ht="15" customHeight="1">
      <c r="C200" s="37"/>
      <c r="F200" s="3"/>
      <c r="G200" s="3"/>
      <c r="H200" s="3"/>
    </row>
    <row r="201" spans="3:8" ht="15" customHeight="1">
      <c r="C201" s="37"/>
      <c r="F201" s="3"/>
      <c r="G201" s="3"/>
      <c r="H201" s="3"/>
    </row>
    <row r="202" spans="3:8" ht="15" customHeight="1">
      <c r="C202" s="37"/>
      <c r="F202" s="3"/>
      <c r="G202" s="3"/>
      <c r="H202" s="3"/>
    </row>
    <row r="203" spans="3:8" ht="15" customHeight="1">
      <c r="C203" s="37"/>
      <c r="F203" s="3"/>
      <c r="G203" s="3"/>
      <c r="H203" s="3"/>
    </row>
    <row r="204" spans="3:8" ht="15" customHeight="1">
      <c r="C204" s="37"/>
      <c r="F204" s="3"/>
      <c r="G204" s="3"/>
      <c r="H204" s="3"/>
    </row>
    <row r="205" spans="3:8" ht="15" customHeight="1">
      <c r="C205" s="37"/>
      <c r="F205" s="3"/>
      <c r="G205" s="3"/>
      <c r="H205" s="3"/>
    </row>
    <row r="206" spans="3:8" ht="15" customHeight="1">
      <c r="C206" s="37"/>
      <c r="F206" s="3"/>
      <c r="G206" s="3"/>
      <c r="H206" s="3"/>
    </row>
    <row r="207" spans="3:8" ht="15" customHeight="1">
      <c r="C207" s="37"/>
      <c r="F207" s="3"/>
      <c r="G207" s="3"/>
      <c r="H207" s="3"/>
    </row>
    <row r="208" spans="3:8" ht="15" customHeight="1">
      <c r="C208" s="37"/>
      <c r="F208" s="3"/>
      <c r="G208" s="3"/>
      <c r="H208" s="3"/>
    </row>
    <row r="209" spans="3:8" ht="15" customHeight="1">
      <c r="C209" s="37"/>
      <c r="F209" s="3"/>
      <c r="G209" s="3"/>
      <c r="H209" s="3"/>
    </row>
    <row r="210" spans="3:8" ht="15" customHeight="1">
      <c r="C210" s="37"/>
      <c r="F210" s="3"/>
      <c r="G210" s="3"/>
      <c r="H210" s="3"/>
    </row>
    <row r="211" spans="3:8" ht="15" customHeight="1">
      <c r="C211" s="37"/>
      <c r="F211" s="3"/>
      <c r="G211" s="3"/>
      <c r="H211" s="3"/>
    </row>
    <row r="212" spans="3:8" ht="15" customHeight="1">
      <c r="C212" s="37"/>
      <c r="F212" s="3"/>
      <c r="G212" s="3"/>
      <c r="H212" s="3"/>
    </row>
    <row r="213" spans="3:8" ht="15" customHeight="1">
      <c r="C213" s="37"/>
      <c r="F213" s="3"/>
      <c r="G213" s="3"/>
      <c r="H213" s="3"/>
    </row>
    <row r="214" spans="3:8" ht="15" customHeight="1">
      <c r="C214" s="37"/>
      <c r="F214" s="3"/>
      <c r="G214" s="3"/>
      <c r="H214" s="3"/>
    </row>
    <row r="215" spans="3:8" ht="15" customHeight="1">
      <c r="C215" s="37"/>
      <c r="F215" s="3"/>
      <c r="G215" s="3"/>
      <c r="H215" s="3"/>
    </row>
    <row r="216" spans="3:8" ht="15" customHeight="1">
      <c r="C216" s="37"/>
      <c r="F216" s="3"/>
      <c r="G216" s="3"/>
      <c r="H216" s="3"/>
    </row>
    <row r="217" spans="3:8" ht="15" customHeight="1">
      <c r="C217" s="37"/>
      <c r="F217" s="3"/>
      <c r="G217" s="3"/>
      <c r="H217" s="3"/>
    </row>
    <row r="218" spans="3:8" ht="15" customHeight="1">
      <c r="C218" s="37"/>
      <c r="F218" s="3"/>
      <c r="G218" s="3"/>
      <c r="H218" s="3"/>
    </row>
    <row r="219" spans="3:8" ht="15" customHeight="1">
      <c r="C219" s="37"/>
      <c r="F219" s="3"/>
      <c r="G219" s="3"/>
      <c r="H219" s="3"/>
    </row>
    <row r="220" spans="3:8" ht="15" customHeight="1">
      <c r="C220" s="37"/>
      <c r="F220" s="3"/>
      <c r="G220" s="3"/>
      <c r="H220" s="3"/>
    </row>
    <row r="221" spans="3:8" ht="15" customHeight="1">
      <c r="C221" s="37"/>
      <c r="F221" s="3"/>
      <c r="G221" s="3"/>
      <c r="H221" s="3"/>
    </row>
    <row r="222" spans="3:8" ht="15" customHeight="1">
      <c r="C222" s="37"/>
      <c r="F222" s="3"/>
      <c r="G222" s="3"/>
      <c r="H222" s="3"/>
    </row>
    <row r="223" spans="3:8" ht="15" customHeight="1">
      <c r="C223" s="37"/>
      <c r="F223" s="3"/>
      <c r="G223" s="3"/>
      <c r="H223" s="3"/>
    </row>
    <row r="224" spans="3:8" ht="15" customHeight="1">
      <c r="C224" s="37"/>
      <c r="F224" s="3"/>
      <c r="G224" s="3"/>
      <c r="H224" s="3"/>
    </row>
    <row r="225" spans="3:8" ht="15" customHeight="1">
      <c r="C225" s="37"/>
      <c r="F225" s="3"/>
      <c r="G225" s="3"/>
      <c r="H225" s="3"/>
    </row>
    <row r="226" spans="3:8" ht="15" customHeight="1">
      <c r="C226" s="37"/>
      <c r="F226" s="3"/>
      <c r="G226" s="3"/>
      <c r="H226" s="3"/>
    </row>
    <row r="227" spans="3:8" ht="15" customHeight="1">
      <c r="C227" s="37"/>
      <c r="F227" s="3"/>
      <c r="G227" s="3"/>
      <c r="H227" s="3"/>
    </row>
    <row r="228" spans="3:8" ht="15" customHeight="1">
      <c r="C228" s="37"/>
      <c r="F228" s="3"/>
      <c r="G228" s="3"/>
      <c r="H228" s="3"/>
    </row>
    <row r="229" spans="3:8" ht="15" customHeight="1">
      <c r="C229" s="37"/>
      <c r="F229" s="3"/>
      <c r="G229" s="3"/>
      <c r="H229" s="3"/>
    </row>
    <row r="230" spans="3:8" ht="15" customHeight="1">
      <c r="C230" s="37"/>
      <c r="F230" s="3"/>
      <c r="G230" s="3"/>
      <c r="H230" s="3"/>
    </row>
    <row r="231" spans="3:8" ht="15" customHeight="1">
      <c r="C231" s="37"/>
      <c r="F231" s="3"/>
      <c r="G231" s="3"/>
      <c r="H231" s="3"/>
    </row>
    <row r="232" spans="3:8" ht="15" customHeight="1">
      <c r="C232" s="37"/>
      <c r="F232" s="3"/>
      <c r="G232" s="3"/>
      <c r="H232" s="3"/>
    </row>
    <row r="233" spans="3:8" ht="15" customHeight="1">
      <c r="C233" s="37"/>
      <c r="F233" s="3"/>
      <c r="G233" s="3"/>
      <c r="H233" s="3"/>
    </row>
    <row r="234" spans="3:8" ht="15" customHeight="1">
      <c r="C234" s="37"/>
      <c r="F234" s="3"/>
      <c r="G234" s="3"/>
      <c r="H234" s="3"/>
    </row>
    <row r="235" spans="3:8" ht="15" customHeight="1">
      <c r="C235" s="37"/>
      <c r="F235" s="3"/>
      <c r="G235" s="3"/>
      <c r="H235" s="3"/>
    </row>
    <row r="236" spans="3:8" ht="15" customHeight="1">
      <c r="C236" s="37"/>
      <c r="F236" s="3"/>
      <c r="G236" s="3"/>
      <c r="H236" s="3"/>
    </row>
    <row r="237" spans="3:8" ht="15" customHeight="1">
      <c r="C237" s="37"/>
      <c r="F237" s="3"/>
      <c r="G237" s="3"/>
      <c r="H237" s="3"/>
    </row>
    <row r="238" spans="3:8" ht="15" customHeight="1">
      <c r="C238" s="37"/>
      <c r="F238" s="3"/>
      <c r="G238" s="3"/>
      <c r="H238" s="3"/>
    </row>
    <row r="239" spans="3:8" ht="15" customHeight="1">
      <c r="C239" s="37"/>
      <c r="F239" s="3"/>
      <c r="G239" s="3"/>
      <c r="H239" s="3"/>
    </row>
    <row r="240" spans="3:8" ht="15" customHeight="1">
      <c r="C240" s="37"/>
      <c r="F240" s="3"/>
      <c r="G240" s="3"/>
      <c r="H240" s="3"/>
    </row>
    <row r="241" spans="3:8" ht="15" customHeight="1">
      <c r="C241" s="37"/>
      <c r="F241" s="3"/>
      <c r="G241" s="3"/>
      <c r="H241" s="3"/>
    </row>
    <row r="242" spans="3:8" ht="15" customHeight="1">
      <c r="C242" s="37"/>
      <c r="F242" s="3"/>
      <c r="G242" s="3"/>
      <c r="H242" s="3"/>
    </row>
    <row r="243" spans="3:8" ht="15" customHeight="1">
      <c r="C243" s="37"/>
      <c r="F243" s="3"/>
      <c r="G243" s="3"/>
      <c r="H243" s="3"/>
    </row>
    <row r="244" spans="3:8" ht="15" customHeight="1">
      <c r="C244" s="37"/>
      <c r="F244" s="3"/>
      <c r="G244" s="3"/>
      <c r="H244" s="3"/>
    </row>
    <row r="245" spans="3:8" ht="15" customHeight="1">
      <c r="C245" s="37"/>
      <c r="F245" s="3"/>
      <c r="G245" s="3"/>
      <c r="H245" s="3"/>
    </row>
    <row r="246" spans="3:8" ht="15" customHeight="1">
      <c r="C246" s="37"/>
      <c r="F246" s="3"/>
      <c r="G246" s="3"/>
      <c r="H246" s="3"/>
    </row>
    <row r="247" spans="3:8" ht="15" customHeight="1">
      <c r="C247" s="37"/>
      <c r="F247" s="3"/>
      <c r="G247" s="3"/>
      <c r="H247" s="3"/>
    </row>
    <row r="248" spans="3:8" ht="15" customHeight="1">
      <c r="C248" s="37"/>
      <c r="F248" s="3"/>
      <c r="G248" s="3"/>
      <c r="H248" s="3"/>
    </row>
    <row r="249" spans="3:8" ht="15" customHeight="1">
      <c r="C249" s="37"/>
      <c r="F249" s="3"/>
      <c r="G249" s="3"/>
      <c r="H249" s="3"/>
    </row>
    <row r="250" spans="3:8" ht="15" customHeight="1">
      <c r="C250" s="37"/>
      <c r="F250" s="3"/>
      <c r="G250" s="3"/>
      <c r="H250" s="3"/>
    </row>
    <row r="251" spans="3:8" ht="15" customHeight="1">
      <c r="C251" s="37"/>
      <c r="F251" s="3"/>
      <c r="G251" s="3"/>
      <c r="H251" s="3"/>
    </row>
    <row r="252" spans="3:8" ht="15" customHeight="1">
      <c r="C252" s="37"/>
      <c r="F252" s="3"/>
      <c r="G252" s="3"/>
      <c r="H252" s="3"/>
    </row>
    <row r="253" spans="3:8" ht="15" customHeight="1">
      <c r="C253" s="37"/>
      <c r="F253" s="3"/>
      <c r="G253" s="3"/>
      <c r="H253" s="3"/>
    </row>
    <row r="254" spans="3:8" ht="15" customHeight="1">
      <c r="C254" s="37"/>
      <c r="F254" s="3"/>
      <c r="G254" s="3"/>
      <c r="H254" s="3"/>
    </row>
    <row r="255" spans="3:8" ht="15" customHeight="1">
      <c r="C255" s="37"/>
      <c r="F255" s="3"/>
      <c r="G255" s="3"/>
      <c r="H255" s="3"/>
    </row>
    <row r="256" spans="3:8" ht="15" customHeight="1">
      <c r="C256" s="37"/>
      <c r="F256" s="3"/>
      <c r="G256" s="3"/>
      <c r="H256" s="3"/>
    </row>
    <row r="257" spans="3:8" ht="15" customHeight="1">
      <c r="C257" s="37"/>
      <c r="F257" s="3"/>
      <c r="G257" s="3"/>
      <c r="H257" s="3"/>
    </row>
    <row r="258" spans="3:8" ht="15" customHeight="1">
      <c r="C258" s="37"/>
      <c r="F258" s="3"/>
      <c r="G258" s="3"/>
      <c r="H258" s="3"/>
    </row>
    <row r="259" spans="3:8" ht="15" customHeight="1">
      <c r="C259" s="37"/>
      <c r="F259" s="3"/>
      <c r="G259" s="3"/>
      <c r="H259" s="3"/>
    </row>
    <row r="260" spans="3:8" ht="15" customHeight="1">
      <c r="C260" s="37"/>
      <c r="F260" s="3"/>
      <c r="G260" s="3"/>
      <c r="H260" s="3"/>
    </row>
    <row r="261" spans="3:8" ht="15" customHeight="1">
      <c r="C261" s="37"/>
      <c r="F261" s="3"/>
      <c r="G261" s="3"/>
      <c r="H261" s="3"/>
    </row>
    <row r="262" spans="3:8" ht="15" customHeight="1">
      <c r="C262" s="37"/>
      <c r="F262" s="3"/>
      <c r="G262" s="3"/>
      <c r="H262" s="3"/>
    </row>
    <row r="263" spans="3:8" ht="15" customHeight="1">
      <c r="C263" s="37"/>
      <c r="F263" s="3"/>
      <c r="G263" s="3"/>
      <c r="H263" s="3"/>
    </row>
    <row r="264" spans="3:8" ht="15" customHeight="1">
      <c r="C264" s="37"/>
      <c r="F264" s="3"/>
      <c r="G264" s="3"/>
      <c r="H264" s="3"/>
    </row>
    <row r="265" spans="3:8" ht="15" customHeight="1">
      <c r="C265" s="37"/>
      <c r="F265" s="3"/>
      <c r="G265" s="3"/>
      <c r="H265" s="3"/>
    </row>
    <row r="266" spans="3:8" ht="15" customHeight="1">
      <c r="C266" s="37"/>
      <c r="F266" s="3"/>
      <c r="G266" s="3"/>
      <c r="H266" s="3"/>
    </row>
    <row r="267" spans="3:8" ht="15" customHeight="1">
      <c r="C267" s="37"/>
      <c r="F267" s="3"/>
      <c r="G267" s="3"/>
      <c r="H267" s="3"/>
    </row>
    <row r="268" spans="3:8" ht="15" customHeight="1">
      <c r="C268" s="37"/>
      <c r="F268" s="3"/>
      <c r="G268" s="3"/>
      <c r="H268" s="3"/>
    </row>
    <row r="269" spans="3:8" ht="15" customHeight="1">
      <c r="C269" s="37"/>
      <c r="F269" s="3"/>
      <c r="G269" s="3"/>
      <c r="H269" s="3"/>
    </row>
    <row r="270" spans="3:8" ht="15" customHeight="1">
      <c r="C270" s="37"/>
      <c r="F270" s="3"/>
      <c r="G270" s="3"/>
      <c r="H270" s="3"/>
    </row>
    <row r="271" spans="3:8" ht="15" customHeight="1">
      <c r="C271" s="37"/>
      <c r="F271" s="3"/>
      <c r="G271" s="3"/>
      <c r="H271" s="3"/>
    </row>
    <row r="272" spans="3:8" ht="15" customHeight="1">
      <c r="C272" s="37"/>
      <c r="F272" s="3"/>
      <c r="G272" s="3"/>
      <c r="H272" s="3"/>
    </row>
    <row r="273" spans="3:8" ht="15" customHeight="1">
      <c r="C273" s="37"/>
      <c r="F273" s="3"/>
      <c r="G273" s="3"/>
      <c r="H273" s="3"/>
    </row>
    <row r="274" spans="3:8" ht="15" customHeight="1">
      <c r="C274" s="37"/>
      <c r="F274" s="3"/>
      <c r="G274" s="3"/>
      <c r="H274" s="3"/>
    </row>
    <row r="275" spans="3:8" ht="15" customHeight="1">
      <c r="C275" s="37"/>
      <c r="F275" s="3"/>
      <c r="G275" s="3"/>
      <c r="H275" s="3"/>
    </row>
    <row r="276" spans="3:8" ht="15" customHeight="1">
      <c r="C276" s="37"/>
      <c r="F276" s="3"/>
      <c r="G276" s="3"/>
      <c r="H276" s="3"/>
    </row>
    <row r="277" spans="3:8" ht="15" customHeight="1">
      <c r="C277" s="37"/>
      <c r="F277" s="3"/>
      <c r="G277" s="3"/>
      <c r="H277" s="3"/>
    </row>
    <row r="278" spans="3:8" ht="15" customHeight="1">
      <c r="C278" s="37"/>
      <c r="F278" s="3"/>
      <c r="G278" s="3"/>
      <c r="H278" s="3"/>
    </row>
    <row r="279" spans="3:8" ht="15" customHeight="1">
      <c r="C279" s="37"/>
      <c r="F279" s="3"/>
      <c r="G279" s="3"/>
      <c r="H279" s="3"/>
    </row>
    <row r="280" spans="3:8" ht="15" customHeight="1">
      <c r="C280" s="37"/>
      <c r="F280" s="3"/>
      <c r="G280" s="3"/>
      <c r="H280" s="3"/>
    </row>
    <row r="281" spans="3:8" ht="15" customHeight="1">
      <c r="C281" s="37"/>
      <c r="F281" s="3"/>
      <c r="G281" s="3"/>
      <c r="H281" s="3"/>
    </row>
    <row r="282" spans="3:8" ht="15" customHeight="1">
      <c r="C282" s="37"/>
      <c r="F282" s="3"/>
      <c r="G282" s="3"/>
      <c r="H282" s="3"/>
    </row>
    <row r="283" spans="3:8" ht="15" customHeight="1">
      <c r="C283" s="37"/>
      <c r="F283" s="3"/>
      <c r="G283" s="3"/>
      <c r="H283" s="3"/>
    </row>
    <row r="284" spans="3:8" ht="15" customHeight="1">
      <c r="C284" s="37"/>
      <c r="F284" s="3"/>
      <c r="G284" s="3"/>
      <c r="H284" s="3"/>
    </row>
    <row r="285" spans="3:8" ht="15" customHeight="1">
      <c r="C285" s="37"/>
      <c r="F285" s="3"/>
      <c r="G285" s="3"/>
      <c r="H285" s="3"/>
    </row>
    <row r="286" spans="3:8" ht="15" customHeight="1">
      <c r="C286" s="37"/>
      <c r="F286" s="3"/>
      <c r="G286" s="3"/>
      <c r="H286" s="3"/>
    </row>
    <row r="287" spans="3:8" ht="15" customHeight="1">
      <c r="C287" s="37"/>
      <c r="F287" s="3"/>
      <c r="G287" s="3"/>
      <c r="H287" s="3"/>
    </row>
    <row r="288" spans="3:8" ht="15" customHeight="1">
      <c r="C288" s="37"/>
      <c r="F288" s="3"/>
      <c r="G288" s="3"/>
      <c r="H288" s="3"/>
    </row>
    <row r="289" spans="3:8" ht="15" customHeight="1">
      <c r="C289" s="37"/>
      <c r="F289" s="3"/>
      <c r="G289" s="3"/>
      <c r="H289" s="3"/>
    </row>
    <row r="290" spans="3:8" ht="15" customHeight="1">
      <c r="C290" s="37"/>
      <c r="F290" s="3"/>
      <c r="G290" s="3"/>
      <c r="H290" s="3"/>
    </row>
    <row r="291" spans="3:8" ht="15" customHeight="1">
      <c r="C291" s="37"/>
      <c r="F291" s="3"/>
      <c r="G291" s="3"/>
      <c r="H291" s="3"/>
    </row>
    <row r="292" spans="3:8" ht="15" customHeight="1">
      <c r="C292" s="37"/>
      <c r="F292" s="3"/>
      <c r="G292" s="3"/>
      <c r="H292" s="3"/>
    </row>
    <row r="293" spans="3:8" ht="15" customHeight="1">
      <c r="C293" s="37"/>
      <c r="F293" s="3"/>
      <c r="G293" s="3"/>
      <c r="H293" s="3"/>
    </row>
    <row r="294" spans="3:8" ht="15" customHeight="1">
      <c r="C294" s="37"/>
      <c r="F294" s="3"/>
      <c r="G294" s="3"/>
      <c r="H294" s="3"/>
    </row>
    <row r="295" spans="3:8" ht="15" customHeight="1">
      <c r="C295" s="37"/>
      <c r="F295" s="3"/>
      <c r="G295" s="3"/>
      <c r="H295" s="3"/>
    </row>
    <row r="296" spans="3:8" ht="15" customHeight="1">
      <c r="C296" s="37"/>
      <c r="F296" s="3"/>
      <c r="G296" s="3"/>
      <c r="H296" s="3"/>
    </row>
    <row r="297" spans="3:8" ht="15" customHeight="1">
      <c r="C297" s="37"/>
      <c r="F297" s="3"/>
      <c r="G297" s="3"/>
      <c r="H297" s="3"/>
    </row>
    <row r="298" spans="3:8" ht="15" customHeight="1">
      <c r="C298" s="37"/>
      <c r="F298" s="3"/>
      <c r="G298" s="3"/>
      <c r="H298" s="3"/>
    </row>
    <row r="299" spans="3:8" ht="15" customHeight="1">
      <c r="C299" s="37"/>
      <c r="F299" s="3"/>
      <c r="G299" s="3"/>
      <c r="H299" s="3"/>
    </row>
    <row r="300" spans="3:8" ht="15" customHeight="1">
      <c r="C300" s="37"/>
      <c r="F300" s="3"/>
      <c r="G300" s="3"/>
      <c r="H300" s="3"/>
    </row>
    <row r="301" spans="3:8" ht="15" customHeight="1">
      <c r="C301" s="37"/>
      <c r="F301" s="3"/>
      <c r="G301" s="3"/>
      <c r="H301" s="3"/>
    </row>
    <row r="302" spans="3:8" ht="15" customHeight="1">
      <c r="C302" s="37"/>
      <c r="F302" s="3"/>
      <c r="G302" s="3"/>
      <c r="H302" s="3"/>
    </row>
    <row r="303" spans="3:8" ht="15" customHeight="1">
      <c r="C303" s="37"/>
      <c r="F303" s="3"/>
      <c r="G303" s="3"/>
      <c r="H303" s="3"/>
    </row>
    <row r="304" spans="3:8" ht="15" customHeight="1">
      <c r="C304" s="37"/>
      <c r="F304" s="3"/>
      <c r="G304" s="3"/>
      <c r="H304" s="3"/>
    </row>
    <row r="305" spans="3:8" ht="15" customHeight="1">
      <c r="C305" s="37"/>
      <c r="F305" s="3"/>
      <c r="G305" s="3"/>
      <c r="H305" s="3"/>
    </row>
    <row r="306" spans="3:8" ht="15" customHeight="1">
      <c r="C306" s="37"/>
      <c r="F306" s="3"/>
      <c r="G306" s="3"/>
      <c r="H306" s="3"/>
    </row>
    <row r="307" spans="3:8" ht="15" customHeight="1">
      <c r="C307" s="37"/>
      <c r="F307" s="3"/>
      <c r="G307" s="3"/>
      <c r="H307" s="3"/>
    </row>
    <row r="308" spans="3:8" ht="15" customHeight="1">
      <c r="C308" s="37"/>
      <c r="F308" s="3"/>
      <c r="G308" s="3"/>
      <c r="H308" s="3"/>
    </row>
    <row r="309" spans="3:8" ht="15" customHeight="1">
      <c r="C309" s="37"/>
      <c r="F309" s="3"/>
      <c r="G309" s="3"/>
      <c r="H309" s="3"/>
    </row>
    <row r="310" spans="3:8" ht="15" customHeight="1">
      <c r="C310" s="37"/>
      <c r="F310" s="3"/>
      <c r="G310" s="3"/>
      <c r="H310" s="3"/>
    </row>
    <row r="311" spans="3:8" ht="15" customHeight="1">
      <c r="C311" s="37"/>
      <c r="F311" s="3"/>
      <c r="G311" s="3"/>
      <c r="H311" s="3"/>
    </row>
    <row r="312" spans="3:8" ht="15" customHeight="1">
      <c r="C312" s="37"/>
      <c r="F312" s="3"/>
      <c r="G312" s="3"/>
      <c r="H312" s="3"/>
    </row>
    <row r="313" spans="3:8" ht="15" customHeight="1">
      <c r="C313" s="37"/>
      <c r="F313" s="3"/>
      <c r="G313" s="3"/>
      <c r="H313" s="3"/>
    </row>
    <row r="314" spans="3:8" ht="15" customHeight="1">
      <c r="C314" s="37"/>
      <c r="F314" s="3"/>
      <c r="G314" s="3"/>
      <c r="H314" s="3"/>
    </row>
    <row r="315" spans="3:8" ht="15" customHeight="1">
      <c r="C315" s="37"/>
      <c r="F315" s="3"/>
      <c r="G315" s="3"/>
      <c r="H315" s="3"/>
    </row>
    <row r="316" spans="3:8" ht="15" customHeight="1">
      <c r="C316" s="37"/>
      <c r="F316" s="3"/>
      <c r="G316" s="3"/>
      <c r="H316" s="3"/>
    </row>
    <row r="317" spans="3:8" ht="15" customHeight="1">
      <c r="C317" s="37"/>
      <c r="F317" s="3"/>
      <c r="G317" s="3"/>
      <c r="H317" s="3"/>
    </row>
    <row r="318" spans="3:8" ht="15" customHeight="1">
      <c r="C318" s="37"/>
      <c r="F318" s="3"/>
      <c r="G318" s="3"/>
      <c r="H318" s="3"/>
    </row>
    <row r="319" spans="3:8" ht="15" customHeight="1">
      <c r="C319" s="37"/>
      <c r="F319" s="3"/>
      <c r="G319" s="3"/>
      <c r="H319" s="3"/>
    </row>
    <row r="320" spans="3:8" ht="15" customHeight="1">
      <c r="C320" s="37"/>
      <c r="F320" s="3"/>
      <c r="G320" s="3"/>
      <c r="H320" s="3"/>
    </row>
    <row r="321" spans="3:8" ht="15" customHeight="1">
      <c r="C321" s="37"/>
      <c r="F321" s="3"/>
      <c r="G321" s="3"/>
      <c r="H321" s="3"/>
    </row>
    <row r="322" spans="3:8" ht="15" customHeight="1">
      <c r="C322" s="37"/>
      <c r="F322" s="3"/>
      <c r="G322" s="3"/>
      <c r="H322" s="3"/>
    </row>
    <row r="323" spans="3:8" ht="15" customHeight="1">
      <c r="C323" s="37"/>
      <c r="F323" s="3"/>
      <c r="G323" s="3"/>
      <c r="H323" s="3"/>
    </row>
    <row r="324" spans="3:8" ht="15" customHeight="1">
      <c r="C324" s="37"/>
      <c r="F324" s="3"/>
      <c r="G324" s="3"/>
      <c r="H324" s="3"/>
    </row>
    <row r="325" spans="3:8" ht="15" customHeight="1">
      <c r="C325" s="37"/>
      <c r="F325" s="3"/>
      <c r="G325" s="3"/>
      <c r="H325" s="3"/>
    </row>
    <row r="326" spans="3:8" ht="15" customHeight="1">
      <c r="C326" s="37"/>
      <c r="F326" s="3"/>
      <c r="G326" s="3"/>
      <c r="H326" s="3"/>
    </row>
    <row r="327" spans="3:8" ht="15" customHeight="1">
      <c r="C327" s="37"/>
      <c r="F327" s="3"/>
      <c r="G327" s="3"/>
      <c r="H327" s="3"/>
    </row>
    <row r="328" spans="3:8" ht="15" customHeight="1">
      <c r="C328" s="37"/>
      <c r="F328" s="3"/>
      <c r="G328" s="3"/>
      <c r="H328" s="3"/>
    </row>
    <row r="329" spans="3:8" ht="15" customHeight="1">
      <c r="C329" s="37"/>
      <c r="F329" s="3"/>
      <c r="G329" s="3"/>
      <c r="H329" s="3"/>
    </row>
    <row r="330" spans="3:8" ht="15" customHeight="1">
      <c r="C330" s="37"/>
      <c r="F330" s="3"/>
      <c r="G330" s="3"/>
      <c r="H330" s="3"/>
    </row>
    <row r="331" spans="3:8" ht="15" customHeight="1">
      <c r="C331" s="37"/>
      <c r="F331" s="3"/>
      <c r="G331" s="3"/>
      <c r="H331" s="3"/>
    </row>
    <row r="332" spans="3:8" ht="15" customHeight="1">
      <c r="C332" s="37"/>
      <c r="F332" s="3"/>
      <c r="G332" s="3"/>
      <c r="H332" s="3"/>
    </row>
    <row r="333" spans="3:8" ht="15" customHeight="1">
      <c r="C333" s="37"/>
      <c r="F333" s="3"/>
      <c r="G333" s="3"/>
      <c r="H333" s="3"/>
    </row>
    <row r="334" spans="3:8" ht="15" customHeight="1">
      <c r="C334" s="37"/>
      <c r="F334" s="3"/>
      <c r="G334" s="3"/>
      <c r="H334" s="3"/>
    </row>
    <row r="335" spans="3:8" ht="15" customHeight="1">
      <c r="C335" s="37"/>
      <c r="F335" s="3"/>
      <c r="G335" s="3"/>
      <c r="H335" s="3"/>
    </row>
    <row r="336" spans="3:8" ht="15" customHeight="1">
      <c r="C336" s="37"/>
      <c r="F336" s="3"/>
      <c r="G336" s="3"/>
      <c r="H336" s="3"/>
    </row>
    <row r="337" spans="3:8" ht="15" customHeight="1">
      <c r="C337" s="37"/>
      <c r="F337" s="3"/>
      <c r="G337" s="3"/>
      <c r="H337" s="3"/>
    </row>
    <row r="338" spans="3:8" ht="15" customHeight="1">
      <c r="C338" s="37"/>
      <c r="F338" s="3"/>
      <c r="G338" s="3"/>
      <c r="H338" s="3"/>
    </row>
    <row r="339" spans="3:8" ht="15" customHeight="1">
      <c r="C339" s="37"/>
      <c r="F339" s="3"/>
      <c r="G339" s="3"/>
      <c r="H339" s="3"/>
    </row>
    <row r="340" spans="3:8" ht="15" customHeight="1">
      <c r="C340" s="37"/>
      <c r="F340" s="3"/>
      <c r="G340" s="3"/>
      <c r="H340" s="3"/>
    </row>
    <row r="341" spans="3:8" ht="15" customHeight="1">
      <c r="C341" s="37"/>
      <c r="F341" s="3"/>
      <c r="G341" s="3"/>
      <c r="H341" s="3"/>
    </row>
    <row r="342" spans="3:8" ht="15" customHeight="1">
      <c r="C342" s="37"/>
      <c r="F342" s="3"/>
      <c r="G342" s="3"/>
      <c r="H342" s="3"/>
    </row>
    <row r="343" spans="3:8" ht="15" customHeight="1">
      <c r="C343" s="37"/>
      <c r="F343" s="3"/>
      <c r="G343" s="3"/>
      <c r="H343" s="3"/>
    </row>
    <row r="344" spans="3:8" ht="15" customHeight="1">
      <c r="C344" s="37"/>
      <c r="F344" s="3"/>
      <c r="G344" s="3"/>
      <c r="H344" s="3"/>
    </row>
    <row r="345" spans="3:8" ht="15" customHeight="1">
      <c r="C345" s="37"/>
      <c r="F345" s="3"/>
      <c r="G345" s="3"/>
      <c r="H345" s="3"/>
    </row>
    <row r="346" spans="3:8" ht="15" customHeight="1">
      <c r="C346" s="37"/>
      <c r="F346" s="3"/>
      <c r="G346" s="3"/>
      <c r="H346" s="3"/>
    </row>
    <row r="347" spans="3:8" ht="15" customHeight="1">
      <c r="C347" s="37"/>
      <c r="F347" s="3"/>
      <c r="G347" s="3"/>
      <c r="H347" s="3"/>
    </row>
    <row r="348" spans="3:8" ht="15" customHeight="1">
      <c r="C348" s="37"/>
      <c r="F348" s="3"/>
      <c r="G348" s="3"/>
      <c r="H348" s="3"/>
    </row>
    <row r="349" spans="3:8" ht="15" customHeight="1">
      <c r="C349" s="37"/>
      <c r="F349" s="3"/>
      <c r="G349" s="3"/>
      <c r="H349" s="3"/>
    </row>
    <row r="350" spans="3:8" ht="15" customHeight="1">
      <c r="C350" s="37"/>
      <c r="F350" s="3"/>
      <c r="G350" s="3"/>
      <c r="H350" s="3"/>
    </row>
    <row r="351" spans="3:8" ht="15" customHeight="1">
      <c r="C351" s="37"/>
      <c r="F351" s="3"/>
      <c r="G351" s="3"/>
      <c r="H351" s="3"/>
    </row>
    <row r="352" spans="3:8" ht="15" customHeight="1">
      <c r="C352" s="37"/>
      <c r="F352" s="3"/>
      <c r="G352" s="3"/>
      <c r="H352" s="3"/>
    </row>
    <row r="353" spans="3:8" ht="15" customHeight="1">
      <c r="C353" s="37"/>
      <c r="F353" s="3"/>
      <c r="G353" s="3"/>
      <c r="H353" s="3"/>
    </row>
    <row r="354" spans="3:8" ht="15" customHeight="1">
      <c r="C354" s="37"/>
      <c r="F354" s="3"/>
      <c r="G354" s="3"/>
      <c r="H354" s="3"/>
    </row>
    <row r="355" spans="3:8" ht="15" customHeight="1">
      <c r="C355" s="37"/>
      <c r="F355" s="3"/>
      <c r="G355" s="3"/>
      <c r="H355" s="3"/>
    </row>
    <row r="356" spans="3:8" ht="15" customHeight="1">
      <c r="C356" s="37"/>
      <c r="F356" s="3"/>
      <c r="G356" s="3"/>
      <c r="H356" s="3"/>
    </row>
    <row r="357" spans="3:8" ht="15" customHeight="1">
      <c r="C357" s="37"/>
      <c r="F357" s="3"/>
      <c r="G357" s="3"/>
      <c r="H357" s="3"/>
    </row>
    <row r="358" spans="3:8" ht="15" customHeight="1">
      <c r="C358" s="37"/>
      <c r="F358" s="3"/>
      <c r="G358" s="3"/>
      <c r="H358" s="3"/>
    </row>
    <row r="359" spans="3:8" ht="15" customHeight="1">
      <c r="C359" s="37"/>
      <c r="F359" s="3"/>
      <c r="G359" s="3"/>
      <c r="H359" s="3"/>
    </row>
    <row r="360" spans="3:8" ht="15" customHeight="1">
      <c r="C360" s="37"/>
      <c r="F360" s="3"/>
      <c r="G360" s="3"/>
      <c r="H360" s="3"/>
    </row>
    <row r="361" spans="3:8" ht="15" customHeight="1">
      <c r="C361" s="37"/>
      <c r="F361" s="3"/>
      <c r="G361" s="3"/>
      <c r="H361" s="3"/>
    </row>
    <row r="362" spans="3:8" ht="15" customHeight="1">
      <c r="C362" s="37"/>
      <c r="F362" s="3"/>
      <c r="G362" s="3"/>
      <c r="H362" s="3"/>
    </row>
    <row r="363" spans="3:8" ht="15" customHeight="1">
      <c r="C363" s="37"/>
      <c r="F363" s="3"/>
      <c r="G363" s="3"/>
      <c r="H363" s="3"/>
    </row>
    <row r="364" spans="3:8" ht="15" customHeight="1">
      <c r="C364" s="37"/>
      <c r="F364" s="3"/>
      <c r="G364" s="3"/>
      <c r="H364" s="3"/>
    </row>
    <row r="365" spans="3:8" ht="15" customHeight="1">
      <c r="C365" s="37"/>
      <c r="F365" s="3"/>
      <c r="G365" s="3"/>
      <c r="H365" s="3"/>
    </row>
    <row r="366" spans="3:8" ht="15" customHeight="1">
      <c r="C366" s="37"/>
      <c r="F366" s="3"/>
      <c r="G366" s="3"/>
      <c r="H366" s="3"/>
    </row>
    <row r="367" spans="3:8" ht="15" customHeight="1">
      <c r="C367" s="37"/>
      <c r="F367" s="3"/>
      <c r="G367" s="3"/>
      <c r="H367" s="3"/>
    </row>
    <row r="368" spans="3:8" ht="15" customHeight="1">
      <c r="C368" s="37"/>
      <c r="F368" s="3"/>
      <c r="G368" s="3"/>
      <c r="H368" s="3"/>
    </row>
    <row r="369" spans="3:8" ht="15" customHeight="1">
      <c r="C369" s="37"/>
      <c r="F369" s="3"/>
      <c r="G369" s="3"/>
      <c r="H369" s="3"/>
    </row>
    <row r="370" spans="3:8" ht="15" customHeight="1">
      <c r="C370" s="37"/>
      <c r="F370" s="3"/>
      <c r="G370" s="3"/>
      <c r="H370" s="3"/>
    </row>
    <row r="371" spans="3:8" ht="15" customHeight="1">
      <c r="C371" s="37"/>
      <c r="F371" s="3"/>
      <c r="G371" s="3"/>
      <c r="H371" s="3"/>
    </row>
    <row r="372" spans="3:8" ht="15" customHeight="1">
      <c r="C372" s="37"/>
      <c r="F372" s="3"/>
      <c r="G372" s="3"/>
      <c r="H372" s="3"/>
    </row>
    <row r="373" spans="3:8" ht="15" customHeight="1">
      <c r="C373" s="37"/>
      <c r="F373" s="3"/>
      <c r="G373" s="3"/>
      <c r="H373" s="3"/>
    </row>
    <row r="374" spans="3:8" ht="15" customHeight="1">
      <c r="C374" s="37"/>
      <c r="F374" s="3"/>
      <c r="G374" s="3"/>
      <c r="H374" s="3"/>
    </row>
    <row r="375" spans="3:8" ht="15" customHeight="1">
      <c r="C375" s="37"/>
      <c r="F375" s="3"/>
      <c r="G375" s="3"/>
      <c r="H375" s="3"/>
    </row>
    <row r="376" spans="3:8" ht="15" customHeight="1">
      <c r="C376" s="37"/>
      <c r="F376" s="3"/>
      <c r="G376" s="3"/>
      <c r="H376" s="3"/>
    </row>
    <row r="377" spans="3:8" ht="15" customHeight="1">
      <c r="C377" s="37"/>
      <c r="F377" s="3"/>
      <c r="G377" s="3"/>
      <c r="H377" s="3"/>
    </row>
    <row r="378" spans="3:8" ht="15" customHeight="1">
      <c r="C378" s="37"/>
      <c r="F378" s="3"/>
      <c r="G378" s="3"/>
      <c r="H378" s="3"/>
    </row>
    <row r="379" spans="3:8" ht="15" customHeight="1">
      <c r="C379" s="37"/>
      <c r="F379" s="3"/>
      <c r="G379" s="3"/>
      <c r="H379" s="3"/>
    </row>
    <row r="380" spans="3:8" ht="15" customHeight="1">
      <c r="C380" s="37"/>
      <c r="F380" s="3"/>
      <c r="G380" s="3"/>
      <c r="H380" s="3"/>
    </row>
    <row r="381" spans="3:8" ht="15" customHeight="1">
      <c r="C381" s="37"/>
      <c r="F381" s="3"/>
      <c r="G381" s="3"/>
      <c r="H381" s="3"/>
    </row>
    <row r="382" spans="3:8" ht="15" customHeight="1">
      <c r="C382" s="37"/>
      <c r="F382" s="3"/>
      <c r="G382" s="3"/>
      <c r="H382" s="3"/>
    </row>
    <row r="383" spans="3:8" ht="15" customHeight="1">
      <c r="C383" s="37"/>
      <c r="F383" s="3"/>
      <c r="G383" s="3"/>
      <c r="H383" s="3"/>
    </row>
    <row r="384" spans="3:8" ht="15" customHeight="1">
      <c r="C384" s="37"/>
      <c r="F384" s="3"/>
      <c r="G384" s="3"/>
      <c r="H384" s="3"/>
    </row>
    <row r="385" spans="3:8" ht="15" customHeight="1">
      <c r="C385" s="37"/>
      <c r="F385" s="3"/>
      <c r="G385" s="3"/>
      <c r="H385" s="3"/>
    </row>
    <row r="386" spans="3:8" ht="15" customHeight="1">
      <c r="C386" s="37"/>
      <c r="F386" s="3"/>
      <c r="G386" s="3"/>
      <c r="H386" s="3"/>
    </row>
    <row r="387" spans="3:8" ht="15" customHeight="1">
      <c r="C387" s="37"/>
      <c r="F387" s="3"/>
      <c r="G387" s="3"/>
      <c r="H387" s="3"/>
    </row>
    <row r="388" spans="3:8" ht="15" customHeight="1">
      <c r="C388" s="37"/>
      <c r="F388" s="3"/>
      <c r="G388" s="3"/>
      <c r="H388" s="3"/>
    </row>
    <row r="389" spans="3:8" ht="15" customHeight="1">
      <c r="C389" s="37"/>
      <c r="F389" s="3"/>
      <c r="G389" s="3"/>
      <c r="H389" s="3"/>
    </row>
    <row r="390" spans="3:8" ht="15" customHeight="1">
      <c r="C390" s="37"/>
      <c r="F390" s="3"/>
      <c r="G390" s="3"/>
      <c r="H390" s="3"/>
    </row>
    <row r="391" spans="3:8" ht="15" customHeight="1">
      <c r="C391" s="37"/>
      <c r="F391" s="3"/>
      <c r="G391" s="3"/>
      <c r="H391" s="3"/>
    </row>
    <row r="392" spans="3:8" ht="15" customHeight="1">
      <c r="C392" s="37"/>
      <c r="F392" s="3"/>
      <c r="G392" s="3"/>
      <c r="H392" s="3"/>
    </row>
    <row r="393" spans="3:8" ht="15" customHeight="1">
      <c r="C393" s="37"/>
      <c r="F393" s="3"/>
      <c r="G393" s="3"/>
      <c r="H393" s="3"/>
    </row>
    <row r="394" spans="3:8" ht="15" customHeight="1">
      <c r="C394" s="37"/>
      <c r="F394" s="3"/>
      <c r="G394" s="3"/>
      <c r="H394" s="3"/>
    </row>
    <row r="395" spans="3:8" ht="15" customHeight="1">
      <c r="C395" s="37"/>
      <c r="F395" s="3"/>
      <c r="G395" s="3"/>
      <c r="H395" s="3"/>
    </row>
    <row r="396" spans="3:8" ht="15" customHeight="1">
      <c r="C396" s="37"/>
      <c r="F396" s="3"/>
      <c r="G396" s="3"/>
      <c r="H396" s="3"/>
    </row>
    <row r="397" spans="3:8" ht="15" customHeight="1">
      <c r="C397" s="37"/>
      <c r="F397" s="3"/>
      <c r="G397" s="3"/>
      <c r="H397" s="3"/>
    </row>
    <row r="398" spans="3:8" ht="15" customHeight="1">
      <c r="C398" s="37"/>
      <c r="F398" s="3"/>
      <c r="G398" s="3"/>
      <c r="H398" s="3"/>
    </row>
    <row r="399" spans="3:8" ht="15" customHeight="1">
      <c r="C399" s="37"/>
      <c r="F399" s="3"/>
      <c r="G399" s="3"/>
      <c r="H399" s="3"/>
    </row>
    <row r="400" spans="3:8" ht="15" customHeight="1">
      <c r="C400" s="37"/>
      <c r="F400" s="3"/>
      <c r="G400" s="3"/>
      <c r="H400" s="3"/>
    </row>
    <row r="401" spans="3:8" ht="15" customHeight="1">
      <c r="C401" s="37"/>
      <c r="F401" s="3"/>
      <c r="G401" s="3"/>
      <c r="H401" s="3"/>
    </row>
    <row r="402" spans="3:8" ht="15" customHeight="1">
      <c r="C402" s="37"/>
      <c r="F402" s="3"/>
      <c r="G402" s="3"/>
      <c r="H402" s="3"/>
    </row>
    <row r="403" spans="3:8" ht="15" customHeight="1">
      <c r="C403" s="37"/>
      <c r="F403" s="3"/>
      <c r="G403" s="3"/>
      <c r="H403" s="3"/>
    </row>
    <row r="404" spans="3:8" ht="15" customHeight="1">
      <c r="C404" s="37"/>
      <c r="F404" s="3"/>
      <c r="G404" s="3"/>
      <c r="H404" s="3"/>
    </row>
    <row r="405" spans="3:8" ht="15" customHeight="1">
      <c r="C405" s="37"/>
      <c r="F405" s="3"/>
      <c r="G405" s="3"/>
      <c r="H405" s="3"/>
    </row>
    <row r="406" spans="3:8" ht="15" customHeight="1">
      <c r="C406" s="37"/>
      <c r="F406" s="3"/>
      <c r="G406" s="3"/>
      <c r="H406" s="3"/>
    </row>
    <row r="407" spans="3:8" ht="15" customHeight="1">
      <c r="C407" s="37"/>
      <c r="F407" s="3"/>
      <c r="G407" s="3"/>
      <c r="H407" s="3"/>
    </row>
    <row r="408" spans="3:8" ht="15" customHeight="1">
      <c r="C408" s="37"/>
      <c r="F408" s="3"/>
      <c r="G408" s="3"/>
      <c r="H408" s="3"/>
    </row>
    <row r="409" spans="3:8" ht="15" customHeight="1">
      <c r="C409" s="37"/>
      <c r="F409" s="3"/>
      <c r="G409" s="3"/>
      <c r="H409" s="3"/>
    </row>
    <row r="410" spans="3:8" ht="15" customHeight="1">
      <c r="C410" s="37"/>
      <c r="F410" s="3"/>
      <c r="G410" s="3"/>
      <c r="H410" s="3"/>
    </row>
    <row r="411" spans="3:8" ht="15" customHeight="1">
      <c r="C411" s="37"/>
      <c r="F411" s="3"/>
      <c r="G411" s="3"/>
      <c r="H411" s="3"/>
    </row>
    <row r="412" spans="3:8" ht="15" customHeight="1">
      <c r="C412" s="37"/>
      <c r="F412" s="3"/>
      <c r="G412" s="3"/>
      <c r="H412" s="3"/>
    </row>
    <row r="413" spans="3:8" ht="15" customHeight="1">
      <c r="C413" s="37"/>
      <c r="F413" s="3"/>
      <c r="G413" s="3"/>
      <c r="H413" s="3"/>
    </row>
    <row r="414" spans="3:8" ht="15" customHeight="1">
      <c r="C414" s="37"/>
      <c r="F414" s="3"/>
      <c r="G414" s="3"/>
      <c r="H414" s="3"/>
    </row>
    <row r="415" spans="3:8" ht="15" customHeight="1">
      <c r="C415" s="37"/>
      <c r="F415" s="3"/>
      <c r="G415" s="3"/>
      <c r="H415" s="3"/>
    </row>
    <row r="416" spans="3:8" ht="15" customHeight="1">
      <c r="C416" s="37"/>
      <c r="F416" s="3"/>
      <c r="G416" s="3"/>
      <c r="H416" s="3"/>
    </row>
    <row r="417" spans="3:8" ht="15" customHeight="1">
      <c r="C417" s="37"/>
      <c r="F417" s="3"/>
      <c r="G417" s="3"/>
      <c r="H417" s="3"/>
    </row>
    <row r="418" spans="3:8" ht="15" customHeight="1">
      <c r="C418" s="37"/>
      <c r="F418" s="3"/>
      <c r="G418" s="3"/>
      <c r="H418" s="3"/>
    </row>
    <row r="419" spans="3:8" ht="15" customHeight="1">
      <c r="C419" s="37"/>
      <c r="F419" s="3"/>
      <c r="G419" s="3"/>
      <c r="H419" s="3"/>
    </row>
    <row r="420" spans="3:8" ht="15" customHeight="1">
      <c r="C420" s="37"/>
      <c r="F420" s="3"/>
      <c r="G420" s="3"/>
      <c r="H420" s="3"/>
    </row>
    <row r="421" spans="3:8" ht="15" customHeight="1">
      <c r="C421" s="37"/>
      <c r="F421" s="3"/>
      <c r="G421" s="3"/>
      <c r="H421" s="3"/>
    </row>
    <row r="422" spans="3:8" ht="15" customHeight="1">
      <c r="C422" s="37"/>
      <c r="F422" s="3"/>
      <c r="G422" s="3"/>
      <c r="H422" s="3"/>
    </row>
    <row r="423" spans="3:8" ht="15" customHeight="1">
      <c r="C423" s="37"/>
      <c r="F423" s="3"/>
      <c r="G423" s="3"/>
      <c r="H423" s="3"/>
    </row>
    <row r="424" spans="3:8" ht="15" customHeight="1">
      <c r="C424" s="37"/>
      <c r="F424" s="3"/>
      <c r="G424" s="3"/>
      <c r="H424" s="3"/>
    </row>
    <row r="425" spans="3:8" ht="15" customHeight="1">
      <c r="C425" s="37"/>
      <c r="F425" s="3"/>
      <c r="G425" s="3"/>
      <c r="H425" s="3"/>
    </row>
    <row r="426" spans="3:8" ht="15" customHeight="1">
      <c r="C426" s="37"/>
      <c r="F426" s="3"/>
      <c r="G426" s="3"/>
      <c r="H426" s="3"/>
    </row>
    <row r="427" spans="3:8" ht="15" customHeight="1">
      <c r="C427" s="37"/>
      <c r="F427" s="3"/>
      <c r="G427" s="3"/>
      <c r="H427" s="3"/>
    </row>
    <row r="428" spans="3:8" ht="15" customHeight="1">
      <c r="C428" s="37"/>
      <c r="F428" s="3"/>
      <c r="G428" s="3"/>
      <c r="H428" s="3"/>
    </row>
    <row r="429" spans="3:8" ht="15" customHeight="1">
      <c r="C429" s="37"/>
      <c r="F429" s="3"/>
      <c r="G429" s="3"/>
      <c r="H429" s="3"/>
    </row>
    <row r="430" spans="3:8" ht="15" customHeight="1">
      <c r="C430" s="37"/>
      <c r="F430" s="3"/>
      <c r="G430" s="3"/>
      <c r="H430" s="3"/>
    </row>
    <row r="431" spans="3:8" ht="15" customHeight="1">
      <c r="C431" s="37"/>
      <c r="F431" s="3"/>
      <c r="G431" s="3"/>
      <c r="H431" s="3"/>
    </row>
    <row r="432" spans="3:8" ht="15" customHeight="1">
      <c r="C432" s="37"/>
      <c r="F432" s="3"/>
      <c r="G432" s="3"/>
      <c r="H432" s="3"/>
    </row>
    <row r="433" spans="3:8" ht="15" customHeight="1">
      <c r="C433" s="37"/>
      <c r="F433" s="3"/>
      <c r="G433" s="3"/>
      <c r="H433" s="3"/>
    </row>
    <row r="434" spans="3:8" ht="15" customHeight="1">
      <c r="C434" s="37"/>
      <c r="F434" s="3"/>
      <c r="G434" s="3"/>
      <c r="H434" s="3"/>
    </row>
    <row r="435" spans="3:8" ht="15" customHeight="1">
      <c r="C435" s="37"/>
      <c r="F435" s="3"/>
      <c r="G435" s="3"/>
      <c r="H435" s="3"/>
    </row>
    <row r="436" spans="3:8" ht="15" customHeight="1">
      <c r="C436" s="37"/>
      <c r="F436" s="3"/>
      <c r="G436" s="3"/>
      <c r="H436" s="3"/>
    </row>
    <row r="437" spans="3:8" ht="15" customHeight="1">
      <c r="C437" s="37"/>
      <c r="F437" s="3"/>
      <c r="G437" s="3"/>
      <c r="H437" s="3"/>
    </row>
    <row r="438" spans="3:8" ht="15" customHeight="1">
      <c r="C438" s="37"/>
      <c r="F438" s="3"/>
      <c r="G438" s="3"/>
      <c r="H438" s="3"/>
    </row>
    <row r="439" spans="3:8" ht="15" customHeight="1">
      <c r="C439" s="37"/>
      <c r="F439" s="3"/>
      <c r="G439" s="3"/>
      <c r="H439" s="3"/>
    </row>
    <row r="440" spans="3:8" ht="15" customHeight="1">
      <c r="C440" s="37"/>
      <c r="F440" s="3"/>
      <c r="G440" s="3"/>
      <c r="H440" s="3"/>
    </row>
    <row r="441" spans="3:8" ht="15" customHeight="1">
      <c r="C441" s="37"/>
      <c r="F441" s="3"/>
      <c r="G441" s="3"/>
      <c r="H441" s="3"/>
    </row>
    <row r="442" spans="3:8" ht="15" customHeight="1">
      <c r="C442" s="37"/>
      <c r="F442" s="3"/>
      <c r="G442" s="3"/>
      <c r="H442" s="3"/>
    </row>
    <row r="443" spans="3:8" ht="15" customHeight="1">
      <c r="C443" s="37"/>
      <c r="F443" s="3"/>
      <c r="G443" s="3"/>
      <c r="H443" s="3"/>
    </row>
    <row r="444" spans="3:8" ht="15" customHeight="1">
      <c r="C444" s="37"/>
      <c r="F444" s="3"/>
      <c r="G444" s="3"/>
      <c r="H444" s="3"/>
    </row>
    <row r="445" spans="3:8" ht="15" customHeight="1">
      <c r="C445" s="37"/>
      <c r="F445" s="3"/>
      <c r="G445" s="3"/>
      <c r="H445" s="3"/>
    </row>
    <row r="446" spans="3:8" ht="15" customHeight="1">
      <c r="C446" s="37"/>
      <c r="F446" s="3"/>
      <c r="G446" s="3"/>
      <c r="H446" s="3"/>
    </row>
    <row r="447" spans="3:8" ht="15" customHeight="1">
      <c r="C447" s="37"/>
      <c r="F447" s="3"/>
      <c r="G447" s="3"/>
      <c r="H447" s="3"/>
    </row>
    <row r="448" spans="3:8" ht="15" customHeight="1">
      <c r="C448" s="37"/>
      <c r="F448" s="3"/>
      <c r="G448" s="3"/>
      <c r="H448" s="3"/>
    </row>
    <row r="449" spans="3:8" ht="15" customHeight="1">
      <c r="C449" s="37"/>
      <c r="F449" s="3"/>
      <c r="G449" s="3"/>
      <c r="H449" s="3"/>
    </row>
    <row r="450" spans="3:8" ht="15" customHeight="1">
      <c r="C450" s="37"/>
      <c r="F450" s="3"/>
      <c r="G450" s="3"/>
      <c r="H450" s="3"/>
    </row>
    <row r="451" spans="3:8" ht="15" customHeight="1">
      <c r="C451" s="37"/>
      <c r="F451" s="3"/>
      <c r="G451" s="3"/>
      <c r="H451" s="3"/>
    </row>
    <row r="452" spans="3:8" ht="15" customHeight="1">
      <c r="C452" s="37"/>
      <c r="F452" s="3"/>
      <c r="G452" s="3"/>
      <c r="H452" s="3"/>
    </row>
    <row r="453" spans="3:8" ht="15" customHeight="1">
      <c r="C453" s="37"/>
      <c r="F453" s="3"/>
      <c r="G453" s="3"/>
      <c r="H453" s="3"/>
    </row>
    <row r="454" spans="3:8" ht="15" customHeight="1">
      <c r="C454" s="37"/>
      <c r="F454" s="3"/>
      <c r="G454" s="3"/>
      <c r="H454" s="3"/>
    </row>
    <row r="455" spans="3:8" ht="15" customHeight="1">
      <c r="C455" s="37"/>
      <c r="F455" s="3"/>
      <c r="G455" s="3"/>
      <c r="H455" s="3"/>
    </row>
    <row r="456" spans="3:8" ht="15" customHeight="1">
      <c r="C456" s="37"/>
      <c r="F456" s="3"/>
      <c r="G456" s="3"/>
      <c r="H456" s="3"/>
    </row>
    <row r="457" spans="3:8" ht="15" customHeight="1">
      <c r="C457" s="37"/>
      <c r="F457" s="3"/>
      <c r="G457" s="3"/>
      <c r="H457" s="3"/>
    </row>
    <row r="458" spans="3:8" ht="15" customHeight="1">
      <c r="C458" s="37"/>
      <c r="F458" s="3"/>
      <c r="G458" s="3"/>
      <c r="H458" s="3"/>
    </row>
    <row r="459" spans="3:8" ht="15" customHeight="1">
      <c r="C459" s="37"/>
      <c r="F459" s="3"/>
      <c r="G459" s="3"/>
      <c r="H459" s="3"/>
    </row>
    <row r="460" spans="3:8" ht="15" customHeight="1">
      <c r="C460" s="37"/>
      <c r="F460" s="3"/>
      <c r="G460" s="3"/>
      <c r="H460" s="3"/>
    </row>
    <row r="461" spans="3:8" ht="15" customHeight="1">
      <c r="C461" s="37"/>
      <c r="F461" s="3"/>
      <c r="G461" s="3"/>
      <c r="H461" s="3"/>
    </row>
    <row r="462" spans="3:8" ht="15" customHeight="1">
      <c r="C462" s="37"/>
      <c r="F462" s="3"/>
      <c r="G462" s="3"/>
      <c r="H462" s="3"/>
    </row>
    <row r="463" spans="3:8" ht="15" customHeight="1">
      <c r="C463" s="37"/>
      <c r="F463" s="3"/>
      <c r="G463" s="3"/>
      <c r="H463" s="3"/>
    </row>
    <row r="464" spans="3:8" ht="15" customHeight="1">
      <c r="C464" s="37"/>
      <c r="F464" s="3"/>
      <c r="G464" s="3"/>
      <c r="H464" s="3"/>
    </row>
    <row r="465" spans="3:8" ht="15" customHeight="1">
      <c r="C465" s="37"/>
      <c r="F465" s="3"/>
      <c r="G465" s="3"/>
      <c r="H465" s="3"/>
    </row>
    <row r="466" spans="3:8" ht="15" customHeight="1">
      <c r="C466" s="37"/>
      <c r="F466" s="3"/>
      <c r="G466" s="3"/>
      <c r="H466" s="3"/>
    </row>
    <row r="467" spans="3:8" ht="15" customHeight="1">
      <c r="C467" s="37"/>
      <c r="F467" s="3"/>
      <c r="G467" s="3"/>
      <c r="H467" s="3"/>
    </row>
    <row r="468" spans="3:8" ht="15" customHeight="1">
      <c r="C468" s="37"/>
      <c r="F468" s="3"/>
      <c r="G468" s="3"/>
      <c r="H468" s="3"/>
    </row>
    <row r="469" spans="3:8" ht="15" customHeight="1">
      <c r="C469" s="37"/>
      <c r="F469" s="3"/>
      <c r="G469" s="3"/>
      <c r="H469" s="3"/>
    </row>
    <row r="470" spans="3:8" ht="15" customHeight="1">
      <c r="C470" s="37"/>
      <c r="F470" s="3"/>
      <c r="G470" s="3"/>
      <c r="H470" s="3"/>
    </row>
    <row r="471" spans="3:8" ht="15" customHeight="1">
      <c r="C471" s="37"/>
      <c r="F471" s="3"/>
      <c r="G471" s="3"/>
      <c r="H471" s="3"/>
    </row>
    <row r="472" spans="3:8" ht="15" customHeight="1">
      <c r="C472" s="37"/>
      <c r="F472" s="3"/>
      <c r="G472" s="3"/>
      <c r="H472" s="3"/>
    </row>
    <row r="473" spans="3:8" ht="15" customHeight="1">
      <c r="C473" s="37"/>
      <c r="F473" s="3"/>
      <c r="G473" s="3"/>
      <c r="H473" s="3"/>
    </row>
    <row r="474" spans="3:8" ht="15" customHeight="1">
      <c r="C474" s="37"/>
      <c r="F474" s="3"/>
      <c r="G474" s="3"/>
      <c r="H474" s="3"/>
    </row>
    <row r="475" spans="3:8" ht="15" customHeight="1">
      <c r="C475" s="37"/>
      <c r="F475" s="3"/>
      <c r="G475" s="3"/>
      <c r="H475" s="3"/>
    </row>
    <row r="476" spans="3:8" ht="15" customHeight="1">
      <c r="C476" s="37"/>
      <c r="F476" s="3"/>
      <c r="G476" s="3"/>
      <c r="H476" s="3"/>
    </row>
    <row r="477" spans="3:8" ht="15" customHeight="1">
      <c r="C477" s="37"/>
      <c r="F477" s="3"/>
      <c r="G477" s="3"/>
      <c r="H477" s="3"/>
    </row>
    <row r="478" spans="3:8" ht="15" customHeight="1">
      <c r="C478" s="37"/>
      <c r="F478" s="3"/>
      <c r="G478" s="3"/>
      <c r="H478" s="3"/>
    </row>
    <row r="479" spans="3:8" ht="15" customHeight="1">
      <c r="C479" s="37"/>
      <c r="F479" s="3"/>
      <c r="G479" s="3"/>
      <c r="H479" s="3"/>
    </row>
    <row r="480" spans="3:8" ht="15" customHeight="1">
      <c r="C480" s="37"/>
      <c r="F480" s="3"/>
      <c r="G480" s="3"/>
      <c r="H480" s="3"/>
    </row>
    <row r="481" spans="3:8" ht="15" customHeight="1">
      <c r="C481" s="37"/>
      <c r="F481" s="3"/>
      <c r="G481" s="3"/>
      <c r="H481" s="3"/>
    </row>
    <row r="482" spans="3:8" ht="15" customHeight="1">
      <c r="C482" s="37"/>
      <c r="F482" s="3"/>
      <c r="G482" s="3"/>
      <c r="H482" s="3"/>
    </row>
    <row r="483" spans="3:8" ht="15" customHeight="1">
      <c r="C483" s="37"/>
      <c r="F483" s="3"/>
      <c r="G483" s="3"/>
      <c r="H483" s="3"/>
    </row>
    <row r="484" spans="3:8" ht="15" customHeight="1">
      <c r="C484" s="37"/>
      <c r="F484" s="3"/>
      <c r="G484" s="3"/>
      <c r="H484" s="3"/>
    </row>
    <row r="485" spans="3:8" ht="15" customHeight="1">
      <c r="C485" s="37"/>
      <c r="F485" s="3"/>
      <c r="G485" s="3"/>
      <c r="H485" s="3"/>
    </row>
    <row r="486" spans="3:8" ht="15" customHeight="1">
      <c r="C486" s="37"/>
      <c r="F486" s="3"/>
      <c r="G486" s="3"/>
      <c r="H486" s="3"/>
    </row>
    <row r="487" spans="3:8" ht="15" customHeight="1">
      <c r="C487" s="37"/>
      <c r="F487" s="3"/>
      <c r="G487" s="3"/>
      <c r="H487" s="3"/>
    </row>
    <row r="488" spans="3:8" ht="15" customHeight="1">
      <c r="C488" s="37"/>
      <c r="F488" s="3"/>
      <c r="G488" s="3"/>
      <c r="H488" s="3"/>
    </row>
    <row r="489" spans="3:8" ht="15" customHeight="1">
      <c r="C489" s="37"/>
      <c r="F489" s="3"/>
      <c r="G489" s="3"/>
      <c r="H489" s="3"/>
    </row>
    <row r="490" spans="3:8" ht="15" customHeight="1">
      <c r="C490" s="37"/>
      <c r="F490" s="3"/>
      <c r="G490" s="3"/>
      <c r="H490" s="3"/>
    </row>
    <row r="491" spans="3:8" ht="15" customHeight="1">
      <c r="C491" s="37"/>
      <c r="F491" s="3"/>
      <c r="G491" s="3"/>
      <c r="H491" s="3"/>
    </row>
    <row r="492" spans="3:8" ht="15" customHeight="1">
      <c r="C492" s="37"/>
      <c r="F492" s="3"/>
      <c r="G492" s="3"/>
      <c r="H492" s="3"/>
    </row>
    <row r="493" spans="3:8" ht="15" customHeight="1">
      <c r="C493" s="37"/>
      <c r="F493" s="3"/>
      <c r="G493" s="3"/>
      <c r="H493" s="3"/>
    </row>
    <row r="494" spans="3:8" ht="15" customHeight="1">
      <c r="C494" s="37"/>
      <c r="F494" s="3"/>
      <c r="G494" s="3"/>
      <c r="H494" s="3"/>
    </row>
    <row r="495" spans="3:8" ht="15" customHeight="1">
      <c r="C495" s="37"/>
      <c r="F495" s="3"/>
      <c r="G495" s="3"/>
      <c r="H495" s="3"/>
    </row>
    <row r="496" spans="3:8" ht="15" customHeight="1">
      <c r="C496" s="37"/>
      <c r="F496" s="3"/>
      <c r="G496" s="3"/>
      <c r="H496" s="3"/>
    </row>
    <row r="497" spans="3:8" ht="15" customHeight="1">
      <c r="C497" s="37"/>
      <c r="F497" s="3"/>
      <c r="G497" s="3"/>
      <c r="H497" s="3"/>
    </row>
    <row r="498" spans="3:8" ht="15" customHeight="1">
      <c r="C498" s="37"/>
      <c r="F498" s="3"/>
      <c r="G498" s="3"/>
      <c r="H498" s="3"/>
    </row>
    <row r="499" spans="3:8" ht="15" customHeight="1">
      <c r="C499" s="37"/>
      <c r="F499" s="3"/>
      <c r="G499" s="3"/>
      <c r="H499" s="3"/>
    </row>
    <row r="500" spans="3:8" ht="15" customHeight="1">
      <c r="C500" s="37"/>
      <c r="F500" s="3"/>
      <c r="G500" s="3"/>
      <c r="H500" s="3"/>
    </row>
    <row r="501" spans="3:8" ht="15" customHeight="1">
      <c r="C501" s="37"/>
      <c r="F501" s="3"/>
      <c r="G501" s="3"/>
      <c r="H501" s="3"/>
    </row>
    <row r="502" spans="3:8" ht="15" customHeight="1">
      <c r="C502" s="37"/>
      <c r="F502" s="3"/>
      <c r="G502" s="3"/>
      <c r="H502" s="3"/>
    </row>
    <row r="503" spans="3:8" ht="15" customHeight="1">
      <c r="C503" s="37"/>
      <c r="F503" s="3"/>
      <c r="G503" s="3"/>
      <c r="H503" s="3"/>
    </row>
    <row r="504" spans="3:8" ht="15" customHeight="1">
      <c r="C504" s="37"/>
      <c r="F504" s="3"/>
      <c r="G504" s="3"/>
      <c r="H504" s="3"/>
    </row>
    <row r="505" spans="3:8" ht="15" customHeight="1">
      <c r="C505" s="37"/>
      <c r="F505" s="3"/>
      <c r="G505" s="3"/>
      <c r="H505" s="3"/>
    </row>
    <row r="506" spans="3:8" ht="15" customHeight="1">
      <c r="C506" s="37"/>
      <c r="F506" s="3"/>
      <c r="G506" s="3"/>
      <c r="H506" s="3"/>
    </row>
    <row r="507" spans="3:8" ht="15" customHeight="1">
      <c r="C507" s="37"/>
      <c r="F507" s="3"/>
      <c r="G507" s="3"/>
      <c r="H507" s="3"/>
    </row>
    <row r="508" spans="3:8" ht="15" customHeight="1">
      <c r="C508" s="37"/>
      <c r="F508" s="3"/>
      <c r="G508" s="3"/>
      <c r="H508" s="3"/>
    </row>
    <row r="509" spans="3:8" ht="15" customHeight="1">
      <c r="C509" s="37"/>
      <c r="F509" s="3"/>
      <c r="G509" s="3"/>
      <c r="H509" s="3"/>
    </row>
    <row r="510" spans="3:8" ht="15" customHeight="1">
      <c r="C510" s="37"/>
      <c r="F510" s="3"/>
      <c r="G510" s="3"/>
      <c r="H510" s="3"/>
    </row>
    <row r="511" spans="3:8" ht="15" customHeight="1">
      <c r="C511" s="37"/>
      <c r="F511" s="3"/>
      <c r="G511" s="3"/>
      <c r="H511" s="3"/>
    </row>
    <row r="512" spans="3:8" ht="15" customHeight="1">
      <c r="C512" s="37"/>
      <c r="F512" s="3"/>
      <c r="G512" s="3"/>
      <c r="H512" s="3"/>
    </row>
    <row r="513" spans="3:8" ht="15" customHeight="1">
      <c r="C513" s="37"/>
      <c r="F513" s="3"/>
      <c r="G513" s="3"/>
      <c r="H513" s="3"/>
    </row>
    <row r="514" spans="3:8" ht="15" customHeight="1">
      <c r="C514" s="37"/>
      <c r="F514" s="3"/>
      <c r="G514" s="3"/>
      <c r="H514" s="3"/>
    </row>
    <row r="515" spans="3:8" ht="15" customHeight="1">
      <c r="C515" s="37"/>
      <c r="F515" s="3"/>
      <c r="G515" s="3"/>
      <c r="H515" s="3"/>
    </row>
    <row r="516" spans="3:8" ht="15" customHeight="1">
      <c r="C516" s="37"/>
      <c r="F516" s="3"/>
      <c r="G516" s="3"/>
      <c r="H516" s="3"/>
    </row>
    <row r="517" spans="3:8" ht="15" customHeight="1">
      <c r="C517" s="37"/>
      <c r="F517" s="3"/>
      <c r="G517" s="3"/>
      <c r="H517" s="3"/>
    </row>
    <row r="518" spans="3:8" ht="15" customHeight="1">
      <c r="C518" s="37"/>
      <c r="F518" s="3"/>
      <c r="G518" s="3"/>
      <c r="H518" s="3"/>
    </row>
    <row r="519" spans="3:8" ht="15" customHeight="1">
      <c r="C519" s="37"/>
      <c r="F519" s="3"/>
      <c r="G519" s="3"/>
      <c r="H519" s="3"/>
    </row>
    <row r="520" spans="3:8" ht="15" customHeight="1">
      <c r="C520" s="37"/>
      <c r="F520" s="3"/>
      <c r="G520" s="3"/>
      <c r="H520" s="3"/>
    </row>
    <row r="521" spans="3:8" ht="15" customHeight="1">
      <c r="C521" s="37"/>
      <c r="F521" s="3"/>
      <c r="G521" s="3"/>
      <c r="H521" s="3"/>
    </row>
    <row r="522" spans="3:8" ht="15" customHeight="1">
      <c r="C522" s="37"/>
      <c r="F522" s="3"/>
      <c r="G522" s="3"/>
      <c r="H522" s="3"/>
    </row>
    <row r="523" spans="3:8" ht="15" customHeight="1">
      <c r="C523" s="37"/>
      <c r="F523" s="3"/>
      <c r="G523" s="3"/>
      <c r="H523" s="3"/>
    </row>
    <row r="524" spans="3:8" ht="15" customHeight="1">
      <c r="C524" s="37"/>
      <c r="F524" s="3"/>
      <c r="G524" s="3"/>
      <c r="H524" s="3"/>
    </row>
    <row r="525" spans="3:8" ht="15" customHeight="1">
      <c r="C525" s="37"/>
      <c r="F525" s="3"/>
      <c r="G525" s="3"/>
      <c r="H525" s="3"/>
    </row>
    <row r="526" spans="3:8" ht="15" customHeight="1">
      <c r="C526" s="37"/>
      <c r="F526" s="3"/>
      <c r="G526" s="3"/>
      <c r="H526" s="3"/>
    </row>
    <row r="527" spans="3:8" ht="15" customHeight="1">
      <c r="C527" s="37"/>
      <c r="F527" s="3"/>
      <c r="G527" s="3"/>
      <c r="H527" s="3"/>
    </row>
    <row r="528" spans="3:8" ht="15" customHeight="1">
      <c r="C528" s="37"/>
      <c r="F528" s="3"/>
      <c r="G528" s="3"/>
      <c r="H528" s="3"/>
    </row>
    <row r="529" spans="3:8" ht="15" customHeight="1">
      <c r="C529" s="37"/>
      <c r="F529" s="3"/>
      <c r="G529" s="3"/>
      <c r="H529" s="3"/>
    </row>
    <row r="530" spans="3:8" ht="15" customHeight="1">
      <c r="C530" s="37"/>
      <c r="F530" s="3"/>
      <c r="G530" s="3"/>
      <c r="H530" s="3"/>
    </row>
    <row r="531" spans="3:8" ht="15" customHeight="1">
      <c r="C531" s="37"/>
      <c r="F531" s="3"/>
      <c r="G531" s="3"/>
      <c r="H531" s="3"/>
    </row>
    <row r="532" spans="3:8" ht="15" customHeight="1">
      <c r="C532" s="37"/>
      <c r="F532" s="3"/>
      <c r="G532" s="3"/>
      <c r="H532" s="3"/>
    </row>
    <row r="533" spans="3:8" ht="15" customHeight="1">
      <c r="C533" s="37"/>
      <c r="F533" s="3"/>
      <c r="G533" s="3"/>
      <c r="H533" s="3"/>
    </row>
    <row r="534" spans="3:8" ht="15" customHeight="1">
      <c r="C534" s="37"/>
      <c r="F534" s="3"/>
      <c r="G534" s="3"/>
      <c r="H534" s="3"/>
    </row>
    <row r="535" spans="3:8" ht="15" customHeight="1">
      <c r="C535" s="37"/>
      <c r="F535" s="3"/>
      <c r="G535" s="3"/>
      <c r="H535" s="3"/>
    </row>
    <row r="536" spans="3:8" ht="15" customHeight="1">
      <c r="C536" s="37"/>
      <c r="F536" s="3"/>
      <c r="G536" s="3"/>
      <c r="H536" s="3"/>
    </row>
    <row r="537" spans="3:8" ht="15" customHeight="1">
      <c r="C537" s="37"/>
      <c r="F537" s="3"/>
      <c r="G537" s="3"/>
      <c r="H537" s="3"/>
    </row>
    <row r="538" spans="3:8" ht="15" customHeight="1">
      <c r="C538" s="37"/>
      <c r="F538" s="3"/>
      <c r="G538" s="3"/>
      <c r="H538" s="3"/>
    </row>
    <row r="539" spans="3:8" ht="15" customHeight="1">
      <c r="C539" s="37"/>
      <c r="F539" s="3"/>
      <c r="G539" s="3"/>
      <c r="H539" s="3"/>
    </row>
    <row r="540" spans="3:8" ht="15" customHeight="1">
      <c r="C540" s="37"/>
      <c r="F540" s="3"/>
      <c r="G540" s="3"/>
      <c r="H540" s="3"/>
    </row>
    <row r="541" spans="3:8" ht="15" customHeight="1">
      <c r="C541" s="37"/>
      <c r="F541" s="3"/>
      <c r="G541" s="3"/>
      <c r="H541" s="3"/>
    </row>
    <row r="542" spans="3:8" ht="15" customHeight="1">
      <c r="C542" s="37"/>
      <c r="F542" s="3"/>
      <c r="G542" s="3"/>
      <c r="H542" s="3"/>
    </row>
    <row r="543" spans="3:8" ht="15" customHeight="1">
      <c r="C543" s="37"/>
      <c r="F543" s="3"/>
      <c r="G543" s="3"/>
      <c r="H543" s="3"/>
    </row>
    <row r="544" spans="3:8" ht="15" customHeight="1">
      <c r="C544" s="37"/>
      <c r="F544" s="3"/>
      <c r="G544" s="3"/>
      <c r="H544" s="3"/>
    </row>
    <row r="545" spans="3:8" ht="15" customHeight="1">
      <c r="C545" s="37"/>
      <c r="F545" s="3"/>
      <c r="G545" s="3"/>
      <c r="H545" s="3"/>
    </row>
    <row r="546" spans="3:8" ht="15" customHeight="1">
      <c r="C546" s="37"/>
      <c r="F546" s="3"/>
      <c r="G546" s="3"/>
      <c r="H546" s="3"/>
    </row>
    <row r="547" spans="3:8" ht="15" customHeight="1">
      <c r="C547" s="37"/>
      <c r="F547" s="3"/>
      <c r="G547" s="3"/>
      <c r="H547" s="3"/>
    </row>
    <row r="548" spans="3:8" ht="15" customHeight="1">
      <c r="C548" s="37"/>
      <c r="F548" s="3"/>
      <c r="G548" s="3"/>
      <c r="H548" s="3"/>
    </row>
    <row r="549" spans="3:8" ht="15" customHeight="1">
      <c r="C549" s="37"/>
      <c r="F549" s="3"/>
      <c r="G549" s="3"/>
      <c r="H549" s="3"/>
    </row>
    <row r="550" spans="3:8" ht="15" customHeight="1">
      <c r="C550" s="37"/>
      <c r="F550" s="3"/>
      <c r="G550" s="3"/>
      <c r="H550" s="3"/>
    </row>
    <row r="551" spans="3:8" ht="15" customHeight="1">
      <c r="C551" s="37"/>
      <c r="F551" s="3"/>
      <c r="G551" s="3"/>
      <c r="H551" s="3"/>
    </row>
    <row r="552" spans="3:8" ht="15" customHeight="1">
      <c r="C552" s="37"/>
      <c r="F552" s="3"/>
      <c r="G552" s="3"/>
      <c r="H552" s="3"/>
    </row>
    <row r="553" spans="3:8" ht="15" customHeight="1">
      <c r="C553" s="37"/>
      <c r="F553" s="3"/>
      <c r="G553" s="3"/>
      <c r="H553" s="3"/>
    </row>
    <row r="554" spans="3:8" ht="15" customHeight="1">
      <c r="C554" s="37"/>
      <c r="F554" s="3"/>
      <c r="G554" s="3"/>
      <c r="H554" s="3"/>
    </row>
    <row r="555" spans="3:8" ht="15" customHeight="1">
      <c r="C555" s="37"/>
      <c r="F555" s="3"/>
      <c r="G555" s="3"/>
      <c r="H555" s="3"/>
    </row>
    <row r="556" spans="3:8" ht="15" customHeight="1">
      <c r="C556" s="37"/>
      <c r="F556" s="3"/>
      <c r="G556" s="3"/>
      <c r="H556" s="3"/>
    </row>
    <row r="557" spans="3:8" ht="15" customHeight="1">
      <c r="C557" s="37"/>
      <c r="F557" s="3"/>
      <c r="G557" s="3"/>
      <c r="H557" s="3"/>
    </row>
    <row r="558" spans="3:8" ht="15" customHeight="1">
      <c r="C558" s="37"/>
      <c r="F558" s="3"/>
      <c r="G558" s="3"/>
      <c r="H558" s="3"/>
    </row>
    <row r="559" spans="3:8" ht="15" customHeight="1">
      <c r="C559" s="37"/>
      <c r="F559" s="3"/>
      <c r="G559" s="3"/>
      <c r="H559" s="3"/>
    </row>
    <row r="560" spans="3:8" ht="15" customHeight="1">
      <c r="C560" s="37"/>
      <c r="F560" s="3"/>
      <c r="G560" s="3"/>
      <c r="H560" s="3"/>
    </row>
    <row r="561" spans="3:8" ht="15" customHeight="1">
      <c r="C561" s="37"/>
      <c r="F561" s="3"/>
      <c r="G561" s="3"/>
      <c r="H561" s="3"/>
    </row>
    <row r="562" spans="3:8" ht="15" customHeight="1">
      <c r="C562" s="37"/>
      <c r="F562" s="3"/>
      <c r="G562" s="3"/>
      <c r="H562" s="3"/>
    </row>
    <row r="563" spans="3:8" ht="15" customHeight="1">
      <c r="C563" s="37"/>
      <c r="F563" s="3"/>
      <c r="G563" s="3"/>
      <c r="H563" s="3"/>
    </row>
    <row r="564" spans="3:8" ht="15" customHeight="1">
      <c r="C564" s="37"/>
      <c r="F564" s="3"/>
      <c r="G564" s="3"/>
      <c r="H564" s="3"/>
    </row>
    <row r="565" spans="3:8" ht="15" customHeight="1">
      <c r="C565" s="37"/>
      <c r="F565" s="3"/>
      <c r="G565" s="3"/>
      <c r="H565" s="3"/>
    </row>
    <row r="566" spans="3:8" ht="15" customHeight="1">
      <c r="C566" s="37"/>
      <c r="F566" s="3"/>
      <c r="G566" s="3"/>
      <c r="H566" s="3"/>
    </row>
    <row r="567" spans="3:8" ht="15" customHeight="1">
      <c r="C567" s="37"/>
      <c r="F567" s="3"/>
      <c r="G567" s="3"/>
      <c r="H567" s="3"/>
    </row>
    <row r="568" spans="3:8" ht="15" customHeight="1">
      <c r="C568" s="37"/>
      <c r="F568" s="3"/>
      <c r="G568" s="3"/>
      <c r="H568" s="3"/>
    </row>
    <row r="569" spans="3:8" ht="15" customHeight="1">
      <c r="C569" s="37"/>
      <c r="F569" s="3"/>
      <c r="G569" s="3"/>
      <c r="H569" s="3"/>
    </row>
    <row r="570" spans="3:8" ht="15" customHeight="1">
      <c r="C570" s="37"/>
      <c r="F570" s="3"/>
      <c r="G570" s="3"/>
      <c r="H570" s="3"/>
    </row>
    <row r="571" spans="3:8" ht="15" customHeight="1">
      <c r="C571" s="37"/>
      <c r="F571" s="3"/>
      <c r="G571" s="3"/>
      <c r="H571" s="3"/>
    </row>
    <row r="572" spans="3:8" ht="15" customHeight="1">
      <c r="C572" s="37"/>
      <c r="F572" s="3"/>
      <c r="G572" s="3"/>
      <c r="H572" s="3"/>
    </row>
    <row r="573" spans="3:8" ht="15" customHeight="1">
      <c r="C573" s="37"/>
      <c r="F573" s="3"/>
      <c r="G573" s="3"/>
      <c r="H573" s="3"/>
    </row>
    <row r="574" spans="3:8" ht="15" customHeight="1">
      <c r="C574" s="37"/>
      <c r="F574" s="3"/>
      <c r="G574" s="3"/>
      <c r="H574" s="3"/>
    </row>
    <row r="575" spans="3:8" ht="15" customHeight="1">
      <c r="C575" s="37"/>
      <c r="F575" s="3"/>
      <c r="G575" s="3"/>
      <c r="H575" s="3"/>
    </row>
    <row r="576" spans="3:8" ht="15" customHeight="1">
      <c r="C576" s="37"/>
      <c r="F576" s="3"/>
      <c r="G576" s="3"/>
      <c r="H576" s="3"/>
    </row>
    <row r="577" spans="3:8" ht="15" customHeight="1">
      <c r="C577" s="37"/>
      <c r="F577" s="3"/>
      <c r="G577" s="3"/>
      <c r="H577" s="3"/>
    </row>
    <row r="578" spans="3:8" ht="15" customHeight="1">
      <c r="C578" s="37"/>
      <c r="F578" s="3"/>
      <c r="G578" s="3"/>
      <c r="H578" s="3"/>
    </row>
    <row r="579" spans="3:8" ht="15" customHeight="1">
      <c r="C579" s="37"/>
      <c r="F579" s="3"/>
      <c r="G579" s="3"/>
      <c r="H579" s="3"/>
    </row>
    <row r="580" spans="3:8" ht="15" customHeight="1">
      <c r="C580" s="37"/>
      <c r="F580" s="3"/>
      <c r="G580" s="3"/>
      <c r="H580" s="3"/>
    </row>
    <row r="581" spans="3:8" ht="15" customHeight="1">
      <c r="C581" s="37"/>
      <c r="F581" s="3"/>
      <c r="G581" s="3"/>
      <c r="H581" s="3"/>
    </row>
    <row r="582" spans="3:8" ht="15" customHeight="1">
      <c r="C582" s="37"/>
      <c r="F582" s="3"/>
      <c r="G582" s="3"/>
      <c r="H582" s="3"/>
    </row>
    <row r="583" spans="3:8" ht="15" customHeight="1">
      <c r="C583" s="37"/>
      <c r="F583" s="3"/>
      <c r="G583" s="3"/>
      <c r="H583" s="3"/>
    </row>
    <row r="584" spans="3:8" ht="15" customHeight="1">
      <c r="C584" s="37"/>
      <c r="F584" s="3"/>
      <c r="G584" s="3"/>
      <c r="H584" s="3"/>
    </row>
    <row r="585" spans="3:8" ht="15" customHeight="1">
      <c r="C585" s="37"/>
      <c r="F585" s="3"/>
      <c r="G585" s="3"/>
      <c r="H585" s="3"/>
    </row>
    <row r="586" spans="3:8" ht="15" customHeight="1">
      <c r="C586" s="37"/>
      <c r="F586" s="3"/>
      <c r="G586" s="3"/>
      <c r="H586" s="3"/>
    </row>
    <row r="587" spans="3:8" ht="15" customHeight="1">
      <c r="C587" s="37"/>
      <c r="F587" s="3"/>
      <c r="G587" s="3"/>
      <c r="H587" s="3"/>
    </row>
    <row r="588" spans="3:8" ht="15" customHeight="1">
      <c r="C588" s="37"/>
      <c r="F588" s="3"/>
      <c r="G588" s="3"/>
      <c r="H588" s="3"/>
    </row>
    <row r="589" spans="3:8" ht="15" customHeight="1">
      <c r="C589" s="37"/>
      <c r="F589" s="3"/>
      <c r="G589" s="3"/>
      <c r="H589" s="3"/>
    </row>
    <row r="590" spans="3:8" ht="15" customHeight="1">
      <c r="C590" s="37"/>
      <c r="F590" s="3"/>
      <c r="G590" s="3"/>
      <c r="H590" s="3"/>
    </row>
    <row r="591" spans="3:8" ht="15" customHeight="1">
      <c r="C591" s="37"/>
      <c r="F591" s="3"/>
      <c r="G591" s="3"/>
      <c r="H591" s="3"/>
    </row>
    <row r="592" spans="3:8" ht="15" customHeight="1">
      <c r="C592" s="37"/>
      <c r="F592" s="3"/>
      <c r="G592" s="3"/>
      <c r="H592" s="3"/>
    </row>
    <row r="593" spans="3:8" ht="15" customHeight="1">
      <c r="C593" s="37"/>
      <c r="F593" s="3"/>
      <c r="G593" s="3"/>
      <c r="H593" s="3"/>
    </row>
    <row r="594" spans="3:8" ht="15" customHeight="1">
      <c r="C594" s="37"/>
      <c r="F594" s="3"/>
      <c r="G594" s="3"/>
      <c r="H594" s="3"/>
    </row>
    <row r="595" spans="3:8" ht="15" customHeight="1">
      <c r="C595" s="37"/>
      <c r="F595" s="3"/>
      <c r="G595" s="3"/>
      <c r="H595" s="3"/>
    </row>
    <row r="596" spans="3:8" ht="15" customHeight="1">
      <c r="C596" s="37"/>
      <c r="F596" s="3"/>
      <c r="G596" s="3"/>
      <c r="H596" s="3"/>
    </row>
    <row r="597" spans="3:8" ht="15" customHeight="1">
      <c r="C597" s="37"/>
      <c r="F597" s="3"/>
      <c r="G597" s="3"/>
      <c r="H597" s="3"/>
    </row>
    <row r="598" spans="3:8" ht="15" customHeight="1">
      <c r="C598" s="37"/>
      <c r="F598" s="3"/>
      <c r="G598" s="3"/>
      <c r="H598" s="3"/>
    </row>
    <row r="599" spans="3:8" ht="15" customHeight="1">
      <c r="C599" s="37"/>
      <c r="F599" s="3"/>
      <c r="G599" s="3"/>
      <c r="H599" s="3"/>
    </row>
    <row r="600" spans="3:8" ht="15" customHeight="1">
      <c r="C600" s="37"/>
      <c r="F600" s="3"/>
      <c r="G600" s="3"/>
      <c r="H600" s="3"/>
    </row>
    <row r="601" spans="3:8" ht="15" customHeight="1">
      <c r="C601" s="37"/>
      <c r="F601" s="3"/>
      <c r="G601" s="3"/>
      <c r="H601" s="3"/>
    </row>
    <row r="602" spans="3:8" ht="15" customHeight="1">
      <c r="C602" s="37"/>
      <c r="F602" s="3"/>
      <c r="G602" s="3"/>
      <c r="H602" s="3"/>
    </row>
    <row r="603" spans="3:8" ht="15" customHeight="1">
      <c r="C603" s="37"/>
      <c r="F603" s="3"/>
      <c r="G603" s="3"/>
      <c r="H603" s="3"/>
    </row>
    <row r="604" spans="3:8" ht="15" customHeight="1">
      <c r="C604" s="37"/>
      <c r="F604" s="3"/>
      <c r="G604" s="3"/>
      <c r="H604" s="3"/>
    </row>
    <row r="605" spans="3:8" ht="15" customHeight="1">
      <c r="C605" s="37"/>
      <c r="F605" s="3"/>
      <c r="G605" s="3"/>
      <c r="H605" s="3"/>
    </row>
    <row r="606" spans="3:8" ht="15" customHeight="1">
      <c r="C606" s="37"/>
      <c r="F606" s="3"/>
      <c r="G606" s="3"/>
      <c r="H606" s="3"/>
    </row>
    <row r="607" spans="3:8" ht="15" customHeight="1">
      <c r="C607" s="37"/>
      <c r="F607" s="3"/>
      <c r="G607" s="3"/>
      <c r="H607" s="3"/>
    </row>
    <row r="608" spans="3:8" ht="15" customHeight="1">
      <c r="C608" s="37"/>
      <c r="F608" s="3"/>
      <c r="G608" s="3"/>
      <c r="H608" s="3"/>
    </row>
    <row r="609" spans="3:8" ht="15" customHeight="1">
      <c r="C609" s="37"/>
      <c r="F609" s="3"/>
      <c r="G609" s="3"/>
      <c r="H609" s="3"/>
    </row>
    <row r="610" spans="3:8" ht="15" customHeight="1">
      <c r="C610" s="37"/>
      <c r="F610" s="3"/>
      <c r="G610" s="3"/>
      <c r="H610" s="3"/>
    </row>
    <row r="611" spans="3:8" ht="15" customHeight="1">
      <c r="C611" s="37"/>
      <c r="F611" s="3"/>
      <c r="G611" s="3"/>
      <c r="H611" s="3"/>
    </row>
    <row r="612" spans="3:8" ht="15" customHeight="1">
      <c r="C612" s="37"/>
      <c r="F612" s="3"/>
      <c r="G612" s="3"/>
      <c r="H612" s="3"/>
    </row>
    <row r="613" spans="3:8" ht="15" customHeight="1">
      <c r="C613" s="37"/>
      <c r="F613" s="3"/>
      <c r="G613" s="3"/>
      <c r="H613" s="3"/>
    </row>
    <row r="614" spans="3:8" ht="15" customHeight="1">
      <c r="C614" s="37"/>
      <c r="F614" s="3"/>
      <c r="G614" s="3"/>
      <c r="H614" s="3"/>
    </row>
    <row r="615" spans="3:8" ht="15" customHeight="1">
      <c r="C615" s="37"/>
      <c r="F615" s="3"/>
      <c r="G615" s="3"/>
      <c r="H615" s="3"/>
    </row>
    <row r="616" spans="3:8" ht="15" customHeight="1">
      <c r="C616" s="37"/>
      <c r="F616" s="3"/>
      <c r="G616" s="3"/>
      <c r="H616" s="3"/>
    </row>
    <row r="617" spans="3:8" ht="15" customHeight="1">
      <c r="C617" s="37"/>
      <c r="F617" s="3"/>
      <c r="G617" s="3"/>
      <c r="H617" s="3"/>
    </row>
    <row r="618" spans="3:8" ht="15" customHeight="1">
      <c r="C618" s="37"/>
      <c r="F618" s="3"/>
      <c r="G618" s="3"/>
      <c r="H618" s="3"/>
    </row>
    <row r="619" spans="3:8" ht="15" customHeight="1">
      <c r="C619" s="37"/>
      <c r="F619" s="3"/>
      <c r="G619" s="3"/>
      <c r="H619" s="3"/>
    </row>
    <row r="620" spans="3:8" ht="15" customHeight="1">
      <c r="C620" s="37"/>
      <c r="F620" s="3"/>
      <c r="G620" s="3"/>
      <c r="H620" s="3"/>
    </row>
    <row r="621" spans="3:8" ht="15" customHeight="1">
      <c r="C621" s="37"/>
      <c r="F621" s="3"/>
      <c r="G621" s="3"/>
      <c r="H621" s="3"/>
    </row>
    <row r="622" spans="3:8" ht="15" customHeight="1">
      <c r="C622" s="37"/>
      <c r="F622" s="3"/>
      <c r="G622" s="3"/>
      <c r="H622" s="3"/>
    </row>
    <row r="623" spans="3:8" ht="15" customHeight="1">
      <c r="C623" s="37"/>
      <c r="F623" s="3"/>
      <c r="G623" s="3"/>
      <c r="H623" s="3"/>
    </row>
    <row r="624" spans="3:8" ht="15" customHeight="1">
      <c r="C624" s="37"/>
      <c r="F624" s="3"/>
      <c r="G624" s="3"/>
      <c r="H624" s="3"/>
    </row>
    <row r="625" spans="3:8" ht="15" customHeight="1">
      <c r="C625" s="37"/>
      <c r="F625" s="3"/>
      <c r="G625" s="3"/>
      <c r="H625" s="3"/>
    </row>
    <row r="626" spans="3:8" ht="15" customHeight="1">
      <c r="C626" s="37"/>
      <c r="F626" s="3"/>
      <c r="G626" s="3"/>
      <c r="H626" s="3"/>
    </row>
    <row r="627" spans="3:8" ht="15" customHeight="1">
      <c r="C627" s="37"/>
      <c r="F627" s="3"/>
      <c r="G627" s="3"/>
      <c r="H627" s="3"/>
    </row>
    <row r="628" spans="3:8" ht="15" customHeight="1">
      <c r="C628" s="37"/>
      <c r="F628" s="3"/>
      <c r="G628" s="3"/>
      <c r="H628" s="3"/>
    </row>
    <row r="629" spans="3:8" ht="15" customHeight="1">
      <c r="C629" s="37"/>
      <c r="F629" s="3"/>
      <c r="G629" s="3"/>
      <c r="H629" s="3"/>
    </row>
    <row r="630" spans="3:8" ht="15" customHeight="1">
      <c r="C630" s="37"/>
      <c r="F630" s="3"/>
      <c r="G630" s="3"/>
      <c r="H630" s="3"/>
    </row>
    <row r="631" spans="3:8" ht="15" customHeight="1">
      <c r="C631" s="37"/>
      <c r="F631" s="3"/>
      <c r="G631" s="3"/>
      <c r="H631" s="3"/>
    </row>
    <row r="632" spans="3:8" ht="15" customHeight="1">
      <c r="C632" s="37"/>
      <c r="F632" s="3"/>
      <c r="G632" s="3"/>
      <c r="H632" s="3"/>
    </row>
    <row r="633" spans="3:8" ht="15" customHeight="1">
      <c r="C633" s="37"/>
      <c r="F633" s="3"/>
      <c r="G633" s="3"/>
      <c r="H633" s="3"/>
    </row>
    <row r="634" spans="3:8" ht="15" customHeight="1">
      <c r="C634" s="37"/>
      <c r="F634" s="3"/>
      <c r="G634" s="3"/>
      <c r="H634" s="3"/>
    </row>
    <row r="635" spans="3:8" ht="15" customHeight="1">
      <c r="C635" s="37"/>
      <c r="F635" s="3"/>
      <c r="G635" s="3"/>
      <c r="H635" s="3"/>
    </row>
    <row r="636" spans="3:8" ht="15" customHeight="1">
      <c r="C636" s="37"/>
      <c r="F636" s="3"/>
      <c r="G636" s="3"/>
      <c r="H636" s="3"/>
    </row>
    <row r="637" spans="3:8" ht="15" customHeight="1">
      <c r="C637" s="37"/>
      <c r="F637" s="3"/>
      <c r="G637" s="3"/>
      <c r="H637" s="3"/>
    </row>
    <row r="638" spans="3:8" ht="15" customHeight="1">
      <c r="C638" s="37"/>
      <c r="F638" s="3"/>
      <c r="G638" s="3"/>
      <c r="H638" s="3"/>
    </row>
    <row r="639" spans="3:8" ht="15" customHeight="1">
      <c r="C639" s="37"/>
      <c r="F639" s="3"/>
      <c r="G639" s="3"/>
      <c r="H639" s="3"/>
    </row>
    <row r="640" spans="3:8" ht="15" customHeight="1">
      <c r="C640" s="37"/>
      <c r="F640" s="3"/>
      <c r="G640" s="3"/>
      <c r="H640" s="3"/>
    </row>
    <row r="641" spans="3:8" ht="15" customHeight="1">
      <c r="C641" s="37"/>
      <c r="F641" s="3"/>
      <c r="G641" s="3"/>
      <c r="H641" s="3"/>
    </row>
    <row r="642" spans="3:8" ht="15" customHeight="1">
      <c r="C642" s="37"/>
      <c r="F642" s="3"/>
      <c r="G642" s="3"/>
      <c r="H642" s="3"/>
    </row>
    <row r="643" spans="3:8" ht="15" customHeight="1">
      <c r="C643" s="37"/>
      <c r="F643" s="3"/>
      <c r="G643" s="3"/>
      <c r="H643" s="3"/>
    </row>
    <row r="644" spans="3:8" ht="15" customHeight="1">
      <c r="C644" s="37"/>
      <c r="F644" s="3"/>
      <c r="G644" s="3"/>
      <c r="H644" s="3"/>
    </row>
    <row r="645" spans="3:8" ht="15" customHeight="1">
      <c r="C645" s="37"/>
      <c r="F645" s="3"/>
      <c r="G645" s="3"/>
      <c r="H645" s="3"/>
    </row>
    <row r="646" spans="3:8" ht="15" customHeight="1">
      <c r="C646" s="37"/>
      <c r="F646" s="3"/>
      <c r="G646" s="3"/>
      <c r="H646" s="3"/>
    </row>
    <row r="647" spans="3:8" ht="15" customHeight="1">
      <c r="C647" s="37"/>
      <c r="F647" s="3"/>
      <c r="G647" s="3"/>
      <c r="H647" s="3"/>
    </row>
    <row r="648" spans="3:8" ht="15" customHeight="1">
      <c r="C648" s="37"/>
      <c r="F648" s="3"/>
      <c r="G648" s="3"/>
      <c r="H648" s="3"/>
    </row>
    <row r="649" spans="3:8" ht="15" customHeight="1">
      <c r="C649" s="37"/>
      <c r="F649" s="3"/>
      <c r="G649" s="3"/>
      <c r="H649" s="3"/>
    </row>
    <row r="650" spans="3:8" ht="15" customHeight="1">
      <c r="C650" s="37"/>
      <c r="F650" s="3"/>
      <c r="G650" s="3"/>
      <c r="H650" s="3"/>
    </row>
    <row r="651" spans="3:8" ht="15" customHeight="1">
      <c r="C651" s="37"/>
      <c r="F651" s="3"/>
      <c r="G651" s="3"/>
      <c r="H651" s="3"/>
    </row>
    <row r="652" spans="3:8" ht="15" customHeight="1">
      <c r="C652" s="37"/>
      <c r="F652" s="3"/>
      <c r="G652" s="3"/>
      <c r="H652" s="3"/>
    </row>
    <row r="653" spans="3:8" ht="15" customHeight="1">
      <c r="C653" s="37"/>
      <c r="F653" s="3"/>
      <c r="G653" s="3"/>
      <c r="H653" s="3"/>
    </row>
    <row r="654" spans="3:8" ht="15" customHeight="1">
      <c r="C654" s="37"/>
      <c r="F654" s="3"/>
      <c r="G654" s="3"/>
      <c r="H654" s="3"/>
    </row>
    <row r="655" spans="3:8" ht="15" customHeight="1">
      <c r="C655" s="37"/>
      <c r="F655" s="3"/>
      <c r="G655" s="3"/>
      <c r="H655" s="3"/>
    </row>
    <row r="656" spans="3:8" ht="15" customHeight="1">
      <c r="C656" s="37"/>
      <c r="F656" s="3"/>
      <c r="G656" s="3"/>
      <c r="H656" s="3"/>
    </row>
    <row r="657" spans="3:8" ht="15" customHeight="1">
      <c r="C657" s="37"/>
      <c r="F657" s="3"/>
      <c r="G657" s="3"/>
      <c r="H657" s="3"/>
    </row>
    <row r="658" spans="3:8" ht="15" customHeight="1">
      <c r="C658" s="37"/>
      <c r="F658" s="3"/>
      <c r="G658" s="3"/>
      <c r="H658" s="3"/>
    </row>
    <row r="659" spans="3:8" ht="15" customHeight="1">
      <c r="C659" s="37"/>
      <c r="F659" s="3"/>
      <c r="G659" s="3"/>
      <c r="H659" s="3"/>
    </row>
    <row r="660" spans="3:8" ht="15" customHeight="1">
      <c r="C660" s="37"/>
      <c r="F660" s="3"/>
      <c r="G660" s="3"/>
      <c r="H660" s="3"/>
    </row>
    <row r="661" spans="3:8" ht="15" customHeight="1">
      <c r="C661" s="37"/>
      <c r="F661" s="3"/>
      <c r="G661" s="3"/>
      <c r="H661" s="3"/>
    </row>
    <row r="662" spans="3:8" ht="15" customHeight="1">
      <c r="C662" s="37"/>
      <c r="F662" s="3"/>
      <c r="G662" s="3"/>
      <c r="H662" s="3"/>
    </row>
    <row r="663" spans="3:8" ht="15" customHeight="1">
      <c r="C663" s="37"/>
      <c r="F663" s="3"/>
      <c r="G663" s="3"/>
      <c r="H663" s="3"/>
    </row>
    <row r="664" spans="3:8" ht="15" customHeight="1">
      <c r="C664" s="37"/>
      <c r="F664" s="3"/>
      <c r="G664" s="3"/>
      <c r="H664" s="3"/>
    </row>
    <row r="665" spans="3:8" ht="15" customHeight="1">
      <c r="C665" s="37"/>
      <c r="F665" s="3"/>
      <c r="G665" s="3"/>
      <c r="H665" s="3"/>
    </row>
    <row r="666" spans="3:8" ht="15" customHeight="1">
      <c r="C666" s="37"/>
      <c r="F666" s="3"/>
      <c r="G666" s="3"/>
      <c r="H666" s="3"/>
    </row>
    <row r="667" spans="3:8" ht="15" customHeight="1">
      <c r="C667" s="37"/>
      <c r="F667" s="3"/>
      <c r="G667" s="3"/>
      <c r="H667" s="3"/>
    </row>
    <row r="668" spans="3:8" ht="15" customHeight="1">
      <c r="C668" s="37"/>
      <c r="F668" s="3"/>
      <c r="G668" s="3"/>
      <c r="H668" s="3"/>
    </row>
    <row r="669" spans="3:8" ht="15" customHeight="1">
      <c r="C669" s="37"/>
      <c r="F669" s="3"/>
      <c r="G669" s="3"/>
      <c r="H669" s="3"/>
    </row>
    <row r="670" spans="3:8" ht="15" customHeight="1">
      <c r="C670" s="37"/>
      <c r="F670" s="3"/>
      <c r="G670" s="3"/>
      <c r="H670" s="3"/>
    </row>
    <row r="671" spans="3:8" ht="15" customHeight="1">
      <c r="C671" s="37"/>
      <c r="F671" s="3"/>
      <c r="G671" s="3"/>
      <c r="H671" s="3"/>
    </row>
    <row r="672" spans="3:8" ht="15" customHeight="1">
      <c r="C672" s="37"/>
      <c r="F672" s="3"/>
      <c r="G672" s="3"/>
      <c r="H672" s="3"/>
    </row>
    <row r="673" spans="3:8" ht="15" customHeight="1">
      <c r="C673" s="37"/>
      <c r="F673" s="3"/>
      <c r="G673" s="3"/>
      <c r="H673" s="3"/>
    </row>
    <row r="674" spans="3:8" ht="15" customHeight="1">
      <c r="C674" s="37"/>
      <c r="F674" s="3"/>
      <c r="G674" s="3"/>
      <c r="H674" s="3"/>
    </row>
    <row r="675" spans="3:8" ht="15" customHeight="1">
      <c r="C675" s="37"/>
      <c r="F675" s="3"/>
      <c r="G675" s="3"/>
      <c r="H675" s="3"/>
    </row>
    <row r="676" spans="3:8" ht="15" customHeight="1">
      <c r="C676" s="37"/>
      <c r="F676" s="3"/>
      <c r="G676" s="3"/>
      <c r="H676" s="3"/>
    </row>
    <row r="677" spans="3:8" ht="15" customHeight="1">
      <c r="C677" s="37"/>
      <c r="F677" s="3"/>
      <c r="G677" s="3"/>
      <c r="H677" s="3"/>
    </row>
    <row r="678" spans="3:8" ht="15" customHeight="1">
      <c r="C678" s="37"/>
      <c r="F678" s="3"/>
      <c r="G678" s="3"/>
      <c r="H678" s="3"/>
    </row>
    <row r="679" spans="3:8" ht="15" customHeight="1">
      <c r="C679" s="37"/>
      <c r="F679" s="3"/>
      <c r="G679" s="3"/>
      <c r="H679" s="3"/>
    </row>
    <row r="680" spans="3:8" ht="15" customHeight="1">
      <c r="C680" s="37"/>
      <c r="F680" s="3"/>
      <c r="G680" s="3"/>
      <c r="H680" s="3"/>
    </row>
    <row r="681" spans="3:8" ht="15" customHeight="1">
      <c r="C681" s="37"/>
      <c r="F681" s="3"/>
      <c r="G681" s="3"/>
      <c r="H681" s="3"/>
    </row>
    <row r="682" spans="3:8" ht="15" customHeight="1">
      <c r="C682" s="37"/>
      <c r="F682" s="3"/>
      <c r="G682" s="3"/>
      <c r="H682" s="3"/>
    </row>
    <row r="683" spans="3:8" ht="15" customHeight="1">
      <c r="C683" s="37"/>
      <c r="F683" s="3"/>
      <c r="G683" s="3"/>
      <c r="H683" s="3"/>
    </row>
    <row r="684" spans="3:8" ht="15" customHeight="1">
      <c r="C684" s="37"/>
      <c r="F684" s="3"/>
      <c r="G684" s="3"/>
      <c r="H684" s="3"/>
    </row>
    <row r="685" spans="3:8" ht="15" customHeight="1">
      <c r="C685" s="37"/>
      <c r="F685" s="3"/>
      <c r="G685" s="3"/>
      <c r="H685" s="3"/>
    </row>
    <row r="686" spans="3:8" ht="15" customHeight="1">
      <c r="C686" s="37"/>
      <c r="F686" s="3"/>
      <c r="G686" s="3"/>
      <c r="H686" s="3"/>
    </row>
    <row r="687" spans="3:8" ht="15" customHeight="1">
      <c r="C687" s="37"/>
      <c r="F687" s="3"/>
      <c r="G687" s="3"/>
      <c r="H687" s="3"/>
    </row>
    <row r="688" spans="3:8" ht="15" customHeight="1">
      <c r="C688" s="37"/>
      <c r="F688" s="3"/>
      <c r="G688" s="3"/>
      <c r="H688" s="3"/>
    </row>
    <row r="689" spans="3:8" ht="15" customHeight="1">
      <c r="C689" s="37"/>
      <c r="F689" s="3"/>
      <c r="G689" s="3"/>
      <c r="H689" s="3"/>
    </row>
    <row r="690" spans="3:8" ht="15" customHeight="1">
      <c r="C690" s="37"/>
      <c r="F690" s="3"/>
      <c r="G690" s="3"/>
      <c r="H690" s="3"/>
    </row>
    <row r="691" spans="3:8" ht="15" customHeight="1">
      <c r="C691" s="37"/>
      <c r="F691" s="3"/>
      <c r="G691" s="3"/>
      <c r="H691" s="3"/>
    </row>
    <row r="692" spans="3:8" ht="15" customHeight="1">
      <c r="C692" s="37"/>
      <c r="F692" s="3"/>
      <c r="G692" s="3"/>
      <c r="H692" s="3"/>
    </row>
    <row r="693" spans="3:8" ht="15" customHeight="1">
      <c r="C693" s="37"/>
      <c r="F693" s="3"/>
      <c r="G693" s="3"/>
      <c r="H693" s="3"/>
    </row>
    <row r="694" spans="3:8" ht="15" customHeight="1">
      <c r="C694" s="37"/>
      <c r="F694" s="3"/>
      <c r="G694" s="3"/>
      <c r="H694" s="3"/>
    </row>
    <row r="695" spans="3:8" ht="15" customHeight="1">
      <c r="C695" s="37"/>
      <c r="F695" s="3"/>
      <c r="G695" s="3"/>
      <c r="H695" s="3"/>
    </row>
    <row r="696" spans="3:8" ht="15" customHeight="1">
      <c r="C696" s="37"/>
      <c r="F696" s="3"/>
      <c r="G696" s="3"/>
      <c r="H696" s="3"/>
    </row>
    <row r="697" spans="3:8" ht="15" customHeight="1">
      <c r="C697" s="37"/>
      <c r="F697" s="3"/>
      <c r="G697" s="3"/>
      <c r="H697" s="3"/>
    </row>
    <row r="698" spans="3:8" ht="15" customHeight="1">
      <c r="C698" s="37"/>
      <c r="F698" s="3"/>
      <c r="G698" s="3"/>
      <c r="H698" s="3"/>
    </row>
    <row r="699" spans="3:8" ht="15" customHeight="1">
      <c r="C699" s="37"/>
      <c r="F699" s="3"/>
      <c r="G699" s="3"/>
      <c r="H699" s="3"/>
    </row>
    <row r="700" spans="3:8" ht="15" customHeight="1">
      <c r="C700" s="37"/>
      <c r="F700" s="3"/>
      <c r="G700" s="3"/>
      <c r="H700" s="3"/>
    </row>
    <row r="701" spans="3:8" ht="15" customHeight="1">
      <c r="C701" s="37"/>
      <c r="F701" s="3"/>
      <c r="G701" s="3"/>
      <c r="H701" s="3"/>
    </row>
    <row r="702" spans="3:8" ht="15" customHeight="1">
      <c r="C702" s="37"/>
      <c r="F702" s="3"/>
      <c r="G702" s="3"/>
      <c r="H702" s="3"/>
    </row>
    <row r="703" spans="3:8" ht="15" customHeight="1">
      <c r="C703" s="37"/>
      <c r="F703" s="3"/>
      <c r="G703" s="3"/>
      <c r="H703" s="3"/>
    </row>
    <row r="704" spans="3:8" ht="15" customHeight="1">
      <c r="C704" s="37"/>
      <c r="F704" s="3"/>
      <c r="G704" s="3"/>
      <c r="H704" s="3"/>
    </row>
    <row r="705" spans="3:8" ht="15" customHeight="1">
      <c r="C705" s="37"/>
      <c r="F705" s="3"/>
      <c r="G705" s="3"/>
      <c r="H705" s="3"/>
    </row>
    <row r="706" spans="3:8" ht="15" customHeight="1">
      <c r="C706" s="37"/>
      <c r="F706" s="3"/>
      <c r="G706" s="3"/>
      <c r="H706" s="3"/>
    </row>
    <row r="707" spans="3:8" ht="15" customHeight="1">
      <c r="C707" s="37"/>
      <c r="F707" s="3"/>
      <c r="G707" s="3"/>
      <c r="H707" s="3"/>
    </row>
    <row r="708" spans="3:8" ht="15" customHeight="1">
      <c r="C708" s="37"/>
      <c r="F708" s="3"/>
      <c r="G708" s="3"/>
      <c r="H708" s="3"/>
    </row>
    <row r="709" spans="3:8" ht="15" customHeight="1">
      <c r="C709" s="37"/>
      <c r="F709" s="3"/>
      <c r="G709" s="3"/>
      <c r="H709" s="3"/>
    </row>
    <row r="710" spans="3:8" ht="15" customHeight="1">
      <c r="C710" s="37"/>
      <c r="F710" s="3"/>
      <c r="G710" s="3"/>
      <c r="H710" s="3"/>
    </row>
    <row r="711" spans="3:8" ht="15" customHeight="1">
      <c r="C711" s="37"/>
      <c r="F711" s="3"/>
      <c r="G711" s="3"/>
      <c r="H711" s="3"/>
    </row>
    <row r="712" spans="3:8" ht="15" customHeight="1">
      <c r="C712" s="37"/>
      <c r="F712" s="3"/>
      <c r="G712" s="3"/>
      <c r="H712" s="3"/>
    </row>
    <row r="713" spans="3:8" ht="15" customHeight="1">
      <c r="C713" s="37"/>
      <c r="F713" s="3"/>
      <c r="G713" s="3"/>
      <c r="H713" s="3"/>
    </row>
    <row r="714" spans="3:8" ht="15" customHeight="1">
      <c r="C714" s="37"/>
      <c r="F714" s="3"/>
      <c r="G714" s="3"/>
      <c r="H714" s="3"/>
    </row>
    <row r="715" spans="3:8" ht="15" customHeight="1">
      <c r="C715" s="37"/>
      <c r="F715" s="3"/>
      <c r="G715" s="3"/>
      <c r="H715" s="3"/>
    </row>
    <row r="716" spans="3:8" ht="15" customHeight="1">
      <c r="C716" s="37"/>
      <c r="F716" s="3"/>
      <c r="G716" s="3"/>
      <c r="H716" s="3"/>
    </row>
    <row r="717" spans="3:8" ht="15" customHeight="1">
      <c r="C717" s="37"/>
      <c r="F717" s="3"/>
      <c r="G717" s="3"/>
      <c r="H717" s="3"/>
    </row>
    <row r="718" spans="3:8" ht="15" customHeight="1">
      <c r="C718" s="37"/>
      <c r="F718" s="3"/>
      <c r="G718" s="3"/>
      <c r="H718" s="3"/>
    </row>
    <row r="719" spans="3:8" ht="15" customHeight="1">
      <c r="C719" s="37"/>
      <c r="F719" s="3"/>
      <c r="G719" s="3"/>
      <c r="H719" s="3"/>
    </row>
    <row r="720" spans="3:8" ht="15" customHeight="1">
      <c r="C720" s="37"/>
      <c r="F720" s="3"/>
      <c r="G720" s="3"/>
      <c r="H720" s="3"/>
    </row>
    <row r="721" spans="3:8" ht="15" customHeight="1">
      <c r="C721" s="37"/>
      <c r="F721" s="3"/>
      <c r="G721" s="3"/>
      <c r="H721" s="3"/>
    </row>
    <row r="722" spans="3:8" ht="15" customHeight="1">
      <c r="C722" s="37"/>
      <c r="F722" s="3"/>
      <c r="G722" s="3"/>
      <c r="H722" s="3"/>
    </row>
    <row r="723" spans="3:8" ht="15" customHeight="1">
      <c r="C723" s="37"/>
      <c r="F723" s="3"/>
      <c r="G723" s="3"/>
      <c r="H723" s="3"/>
    </row>
    <row r="724" spans="3:8" ht="15" customHeight="1">
      <c r="C724" s="37"/>
      <c r="F724" s="3"/>
      <c r="G724" s="3"/>
      <c r="H724" s="3"/>
    </row>
    <row r="725" spans="3:8" ht="15" customHeight="1">
      <c r="C725" s="37"/>
      <c r="F725" s="3"/>
      <c r="G725" s="3"/>
      <c r="H725" s="3"/>
    </row>
    <row r="726" spans="3:8" ht="15" customHeight="1">
      <c r="C726" s="37"/>
      <c r="F726" s="3"/>
      <c r="G726" s="3"/>
      <c r="H726" s="3"/>
    </row>
    <row r="727" spans="3:8" ht="15" customHeight="1">
      <c r="C727" s="37"/>
      <c r="F727" s="3"/>
      <c r="G727" s="3"/>
      <c r="H727" s="3"/>
    </row>
    <row r="728" spans="3:8" ht="15" customHeight="1">
      <c r="C728" s="37"/>
      <c r="F728" s="3"/>
      <c r="G728" s="3"/>
      <c r="H728" s="3"/>
    </row>
    <row r="729" spans="3:8" ht="15" customHeight="1">
      <c r="C729" s="37"/>
      <c r="F729" s="3"/>
      <c r="G729" s="3"/>
      <c r="H729" s="3"/>
    </row>
    <row r="730" spans="3:8" ht="15" customHeight="1">
      <c r="C730" s="37"/>
      <c r="F730" s="3"/>
      <c r="G730" s="3"/>
      <c r="H730" s="3"/>
    </row>
    <row r="731" spans="3:8" ht="15" customHeight="1">
      <c r="C731" s="37"/>
      <c r="F731" s="3"/>
      <c r="G731" s="3"/>
      <c r="H731" s="3"/>
    </row>
    <row r="732" spans="3:8" ht="15" customHeight="1">
      <c r="C732" s="37"/>
      <c r="F732" s="3"/>
      <c r="G732" s="3"/>
      <c r="H732" s="3"/>
    </row>
    <row r="733" spans="3:8" ht="15" customHeight="1">
      <c r="C733" s="37"/>
      <c r="F733" s="3"/>
      <c r="G733" s="3"/>
      <c r="H733" s="3"/>
    </row>
    <row r="734" spans="3:8" ht="15" customHeight="1">
      <c r="C734" s="37"/>
      <c r="F734" s="3"/>
      <c r="G734" s="3"/>
      <c r="H734" s="3"/>
    </row>
    <row r="735" spans="3:8" ht="15" customHeight="1">
      <c r="C735" s="37"/>
      <c r="F735" s="3"/>
      <c r="G735" s="3"/>
      <c r="H735" s="3"/>
    </row>
    <row r="736" spans="3:8" ht="15" customHeight="1">
      <c r="C736" s="37"/>
      <c r="F736" s="3"/>
      <c r="G736" s="3"/>
      <c r="H736" s="3"/>
    </row>
    <row r="737" spans="3:8" ht="15" customHeight="1">
      <c r="C737" s="37"/>
      <c r="F737" s="3"/>
      <c r="G737" s="3"/>
      <c r="H737" s="3"/>
    </row>
    <row r="738" spans="3:8" ht="15" customHeight="1">
      <c r="C738" s="37"/>
      <c r="F738" s="3"/>
      <c r="G738" s="3"/>
      <c r="H738" s="3"/>
    </row>
    <row r="739" spans="3:8" ht="15" customHeight="1">
      <c r="C739" s="37"/>
      <c r="F739" s="3"/>
      <c r="G739" s="3"/>
      <c r="H739" s="3"/>
    </row>
    <row r="740" spans="3:8" ht="15" customHeight="1">
      <c r="C740" s="37"/>
      <c r="F740" s="3"/>
      <c r="G740" s="3"/>
      <c r="H740" s="3"/>
    </row>
    <row r="741" spans="3:8" ht="15" customHeight="1">
      <c r="C741" s="37"/>
      <c r="F741" s="3"/>
      <c r="G741" s="3"/>
      <c r="H741" s="3"/>
    </row>
    <row r="742" spans="3:8" ht="15" customHeight="1">
      <c r="C742" s="37"/>
      <c r="F742" s="3"/>
      <c r="G742" s="3"/>
      <c r="H742" s="3"/>
    </row>
    <row r="743" spans="3:8" ht="15" customHeight="1">
      <c r="C743" s="37"/>
      <c r="F743" s="3"/>
      <c r="G743" s="3"/>
      <c r="H743" s="3"/>
    </row>
    <row r="744" spans="3:8" ht="15" customHeight="1">
      <c r="C744" s="37"/>
      <c r="F744" s="3"/>
      <c r="G744" s="3"/>
      <c r="H744" s="3"/>
    </row>
    <row r="745" spans="3:8" ht="15" customHeight="1">
      <c r="C745" s="37"/>
      <c r="F745" s="3"/>
      <c r="G745" s="3"/>
      <c r="H745" s="3"/>
    </row>
    <row r="746" spans="3:8" ht="15" customHeight="1">
      <c r="C746" s="37"/>
      <c r="F746" s="3"/>
      <c r="G746" s="3"/>
      <c r="H746" s="3"/>
    </row>
    <row r="747" spans="3:8" ht="15" customHeight="1">
      <c r="C747" s="37"/>
      <c r="F747" s="3"/>
      <c r="G747" s="3"/>
      <c r="H747" s="3"/>
    </row>
    <row r="748" spans="3:8" ht="15" customHeight="1">
      <c r="C748" s="37"/>
      <c r="F748" s="3"/>
      <c r="G748" s="3"/>
      <c r="H748" s="3"/>
    </row>
    <row r="749" spans="3:8" ht="15" customHeight="1">
      <c r="C749" s="37"/>
      <c r="F749" s="3"/>
      <c r="G749" s="3"/>
      <c r="H749" s="3"/>
    </row>
    <row r="750" spans="3:8" ht="15" customHeight="1">
      <c r="C750" s="37"/>
      <c r="F750" s="3"/>
      <c r="G750" s="3"/>
      <c r="H750" s="3"/>
    </row>
    <row r="751" spans="3:8" ht="15" customHeight="1">
      <c r="C751" s="37"/>
      <c r="F751" s="3"/>
      <c r="G751" s="3"/>
      <c r="H751" s="3"/>
    </row>
    <row r="752" spans="3:8" ht="15" customHeight="1">
      <c r="C752" s="37"/>
      <c r="F752" s="3"/>
      <c r="G752" s="3"/>
      <c r="H752" s="3"/>
    </row>
    <row r="753" spans="3:8" ht="15" customHeight="1">
      <c r="C753" s="37"/>
      <c r="F753" s="3"/>
      <c r="G753" s="3"/>
      <c r="H753" s="3"/>
    </row>
    <row r="754" spans="3:8" ht="15" customHeight="1">
      <c r="C754" s="37"/>
      <c r="F754" s="3"/>
      <c r="G754" s="3"/>
      <c r="H754" s="3"/>
    </row>
    <row r="755" spans="3:8" ht="15" customHeight="1">
      <c r="C755" s="37"/>
      <c r="F755" s="3"/>
      <c r="G755" s="3"/>
      <c r="H755" s="3"/>
    </row>
    <row r="756" spans="3:8" ht="15" customHeight="1">
      <c r="C756" s="37"/>
      <c r="F756" s="3"/>
      <c r="G756" s="3"/>
      <c r="H756" s="3"/>
    </row>
    <row r="757" spans="3:8" ht="15" customHeight="1">
      <c r="C757" s="37"/>
      <c r="F757" s="3"/>
      <c r="G757" s="3"/>
      <c r="H757" s="3"/>
    </row>
    <row r="758" spans="3:8" ht="15" customHeight="1">
      <c r="C758" s="37"/>
      <c r="F758" s="3"/>
      <c r="G758" s="3"/>
      <c r="H758" s="3"/>
    </row>
    <row r="759" spans="3:8" ht="15" customHeight="1">
      <c r="C759" s="37"/>
      <c r="F759" s="3"/>
      <c r="G759" s="3"/>
      <c r="H759" s="3"/>
    </row>
    <row r="760" spans="3:8" ht="15" customHeight="1">
      <c r="C760" s="37"/>
      <c r="F760" s="3"/>
      <c r="G760" s="3"/>
      <c r="H760" s="3"/>
    </row>
    <row r="761" spans="3:8" ht="15" customHeight="1">
      <c r="C761" s="37"/>
      <c r="F761" s="3"/>
      <c r="G761" s="3"/>
      <c r="H761" s="3"/>
    </row>
    <row r="762" spans="3:8" ht="15" customHeight="1">
      <c r="C762" s="37"/>
      <c r="F762" s="3"/>
      <c r="G762" s="3"/>
      <c r="H762" s="3"/>
    </row>
    <row r="763" spans="3:8" ht="15" customHeight="1">
      <c r="C763" s="37"/>
      <c r="F763" s="3"/>
      <c r="G763" s="3"/>
      <c r="H763" s="3"/>
    </row>
    <row r="764" spans="3:8" ht="15" customHeight="1">
      <c r="C764" s="37"/>
      <c r="F764" s="3"/>
      <c r="G764" s="3"/>
      <c r="H764" s="3"/>
    </row>
    <row r="765" spans="3:8" ht="15" customHeight="1">
      <c r="C765" s="37"/>
      <c r="F765" s="3"/>
      <c r="G765" s="3"/>
      <c r="H765" s="3"/>
    </row>
    <row r="766" spans="3:8" ht="15" customHeight="1">
      <c r="C766" s="37"/>
      <c r="F766" s="3"/>
      <c r="G766" s="3"/>
      <c r="H766" s="3"/>
    </row>
    <row r="767" spans="3:8" ht="15" customHeight="1">
      <c r="C767" s="37"/>
      <c r="F767" s="3"/>
      <c r="G767" s="3"/>
      <c r="H767" s="3"/>
    </row>
    <row r="768" spans="3:8" ht="15" customHeight="1">
      <c r="C768" s="37"/>
      <c r="F768" s="3"/>
      <c r="G768" s="3"/>
      <c r="H768" s="3"/>
    </row>
    <row r="769" spans="3:8" ht="15" customHeight="1">
      <c r="C769" s="37"/>
      <c r="F769" s="3"/>
      <c r="G769" s="3"/>
      <c r="H769" s="3"/>
    </row>
    <row r="770" spans="3:8" ht="15" customHeight="1">
      <c r="C770" s="37"/>
      <c r="F770" s="3"/>
      <c r="G770" s="3"/>
      <c r="H770" s="3"/>
    </row>
    <row r="771" spans="3:8" ht="15" customHeight="1">
      <c r="C771" s="37"/>
      <c r="F771" s="3"/>
      <c r="G771" s="3"/>
      <c r="H771" s="3"/>
    </row>
    <row r="772" spans="3:8" ht="15" customHeight="1">
      <c r="C772" s="37"/>
      <c r="F772" s="3"/>
      <c r="G772" s="3"/>
      <c r="H772" s="3"/>
    </row>
    <row r="773" spans="3:8" ht="15" customHeight="1">
      <c r="C773" s="37"/>
      <c r="F773" s="3"/>
      <c r="G773" s="3"/>
      <c r="H773" s="3"/>
    </row>
    <row r="774" spans="3:8" ht="15" customHeight="1">
      <c r="C774" s="37"/>
      <c r="F774" s="3"/>
      <c r="G774" s="3"/>
      <c r="H774" s="3"/>
    </row>
    <row r="775" spans="3:8" ht="15" customHeight="1">
      <c r="C775" s="37"/>
      <c r="F775" s="3"/>
      <c r="G775" s="3"/>
      <c r="H775" s="3"/>
    </row>
    <row r="776" spans="3:8" ht="15" customHeight="1">
      <c r="C776" s="37"/>
      <c r="F776" s="3"/>
      <c r="G776" s="3"/>
      <c r="H776" s="3"/>
    </row>
    <row r="777" spans="3:8" ht="15" customHeight="1">
      <c r="C777" s="37"/>
      <c r="F777" s="3"/>
      <c r="G777" s="3"/>
      <c r="H777" s="3"/>
    </row>
    <row r="778" spans="3:8" ht="15" customHeight="1">
      <c r="C778" s="37"/>
      <c r="F778" s="3"/>
      <c r="G778" s="3"/>
      <c r="H778" s="3"/>
    </row>
    <row r="779" spans="3:8" ht="15" customHeight="1">
      <c r="C779" s="37"/>
      <c r="F779" s="3"/>
      <c r="G779" s="3"/>
      <c r="H779" s="3"/>
    </row>
    <row r="780" spans="3:8" ht="15" customHeight="1">
      <c r="C780" s="37"/>
      <c r="F780" s="3"/>
      <c r="G780" s="3"/>
      <c r="H780" s="3"/>
    </row>
    <row r="781" spans="3:8" ht="15" customHeight="1">
      <c r="C781" s="37"/>
      <c r="F781" s="3"/>
      <c r="G781" s="3"/>
      <c r="H781" s="3"/>
    </row>
    <row r="782" spans="3:8" ht="15" customHeight="1">
      <c r="C782" s="37"/>
      <c r="F782" s="3"/>
      <c r="G782" s="3"/>
      <c r="H782" s="3"/>
    </row>
    <row r="783" spans="3:8" ht="15" customHeight="1">
      <c r="C783" s="37"/>
      <c r="F783" s="3"/>
      <c r="G783" s="3"/>
      <c r="H783" s="3"/>
    </row>
    <row r="784" spans="3:8" ht="15" customHeight="1">
      <c r="C784" s="37"/>
      <c r="F784" s="3"/>
      <c r="G784" s="3"/>
      <c r="H784" s="3"/>
    </row>
    <row r="785" spans="3:8" ht="15" customHeight="1">
      <c r="C785" s="37"/>
      <c r="F785" s="3"/>
      <c r="G785" s="3"/>
      <c r="H785" s="3"/>
    </row>
    <row r="786" spans="3:8" ht="15" customHeight="1">
      <c r="C786" s="37"/>
      <c r="F786" s="3"/>
      <c r="G786" s="3"/>
      <c r="H786" s="3"/>
    </row>
    <row r="787" spans="3:8" ht="15" customHeight="1">
      <c r="C787" s="37"/>
      <c r="F787" s="3"/>
      <c r="G787" s="3"/>
      <c r="H787" s="3"/>
    </row>
    <row r="788" spans="3:8" ht="15" customHeight="1">
      <c r="C788" s="37"/>
      <c r="F788" s="3"/>
      <c r="G788" s="3"/>
      <c r="H788" s="3"/>
    </row>
    <row r="789" spans="3:8" ht="15" customHeight="1">
      <c r="C789" s="37"/>
      <c r="F789" s="3"/>
      <c r="G789" s="3"/>
      <c r="H789" s="3"/>
    </row>
    <row r="790" spans="3:8" ht="15" customHeight="1">
      <c r="C790" s="37"/>
      <c r="F790" s="3"/>
      <c r="G790" s="3"/>
      <c r="H790" s="3"/>
    </row>
    <row r="791" spans="3:8" ht="15" customHeight="1">
      <c r="C791" s="37"/>
      <c r="F791" s="3"/>
      <c r="G791" s="3"/>
      <c r="H791" s="3"/>
    </row>
    <row r="792" spans="3:8" ht="15" customHeight="1">
      <c r="C792" s="37"/>
      <c r="F792" s="3"/>
      <c r="G792" s="3"/>
      <c r="H792" s="3"/>
    </row>
    <row r="793" spans="3:8" ht="15" customHeight="1">
      <c r="C793" s="37"/>
      <c r="F793" s="3"/>
      <c r="G793" s="3"/>
      <c r="H793" s="3"/>
    </row>
    <row r="794" spans="3:8" ht="15" customHeight="1">
      <c r="C794" s="37"/>
      <c r="F794" s="3"/>
      <c r="G794" s="3"/>
      <c r="H794" s="3"/>
    </row>
    <row r="795" spans="3:8" ht="15" customHeight="1">
      <c r="C795" s="37"/>
      <c r="F795" s="3"/>
      <c r="G795" s="3"/>
      <c r="H795" s="3"/>
    </row>
    <row r="796" spans="3:8" ht="15" customHeight="1">
      <c r="C796" s="37"/>
      <c r="F796" s="3"/>
      <c r="G796" s="3"/>
      <c r="H796" s="3"/>
    </row>
    <row r="797" spans="3:8" ht="15" customHeight="1">
      <c r="C797" s="37"/>
      <c r="F797" s="3"/>
      <c r="G797" s="3"/>
      <c r="H797" s="3"/>
    </row>
    <row r="798" spans="3:8" ht="15" customHeight="1">
      <c r="C798" s="37"/>
      <c r="F798" s="3"/>
      <c r="G798" s="3"/>
      <c r="H798" s="3"/>
    </row>
    <row r="799" spans="3:8" ht="15" customHeight="1">
      <c r="C799" s="37"/>
      <c r="F799" s="3"/>
      <c r="G799" s="3"/>
      <c r="H799" s="3"/>
    </row>
    <row r="800" spans="3:8" ht="15" customHeight="1">
      <c r="C800" s="37"/>
      <c r="F800" s="3"/>
      <c r="G800" s="3"/>
      <c r="H800" s="3"/>
    </row>
    <row r="801" spans="3:8" ht="15" customHeight="1">
      <c r="C801" s="37"/>
      <c r="F801" s="3"/>
      <c r="G801" s="3"/>
      <c r="H801" s="3"/>
    </row>
    <row r="802" spans="3:8" ht="15" customHeight="1">
      <c r="C802" s="37"/>
      <c r="F802" s="3"/>
      <c r="G802" s="3"/>
      <c r="H802" s="3"/>
    </row>
    <row r="803" spans="3:8" ht="15" customHeight="1">
      <c r="C803" s="37"/>
      <c r="F803" s="3"/>
      <c r="G803" s="3"/>
      <c r="H803" s="3"/>
    </row>
    <row r="804" spans="3:8" ht="15" customHeight="1">
      <c r="C804" s="37"/>
      <c r="F804" s="3"/>
      <c r="G804" s="3"/>
      <c r="H804" s="3"/>
    </row>
    <row r="805" spans="3:8" ht="15" customHeight="1">
      <c r="C805" s="37"/>
      <c r="F805" s="3"/>
      <c r="G805" s="3"/>
      <c r="H805" s="3"/>
    </row>
    <row r="806" spans="3:8" ht="15" customHeight="1">
      <c r="C806" s="37"/>
      <c r="F806" s="3"/>
      <c r="G806" s="3"/>
      <c r="H806" s="3"/>
    </row>
    <row r="807" spans="3:8" ht="15" customHeight="1">
      <c r="C807" s="37"/>
      <c r="F807" s="3"/>
      <c r="G807" s="3"/>
      <c r="H807" s="3"/>
    </row>
    <row r="808" spans="3:8" ht="15" customHeight="1">
      <c r="C808" s="37"/>
      <c r="F808" s="3"/>
      <c r="G808" s="3"/>
      <c r="H808" s="3"/>
    </row>
    <row r="809" spans="3:8" ht="15" customHeight="1">
      <c r="C809" s="37"/>
      <c r="F809" s="3"/>
      <c r="G809" s="3"/>
      <c r="H809" s="3"/>
    </row>
    <row r="810" spans="3:8" ht="15" customHeight="1">
      <c r="C810" s="37"/>
      <c r="F810" s="3"/>
      <c r="G810" s="3"/>
      <c r="H810" s="3"/>
    </row>
    <row r="811" spans="3:8" ht="15" customHeight="1">
      <c r="C811" s="37"/>
      <c r="F811" s="3"/>
      <c r="G811" s="3"/>
      <c r="H811" s="3"/>
    </row>
    <row r="812" spans="3:8" ht="15" customHeight="1">
      <c r="C812" s="37"/>
      <c r="F812" s="3"/>
      <c r="G812" s="3"/>
      <c r="H812" s="3"/>
    </row>
    <row r="813" spans="3:8" ht="15" customHeight="1">
      <c r="C813" s="37"/>
      <c r="F813" s="3"/>
      <c r="G813" s="3"/>
      <c r="H813" s="3"/>
    </row>
    <row r="814" spans="3:8" ht="15" customHeight="1">
      <c r="C814" s="37"/>
      <c r="F814" s="3"/>
      <c r="G814" s="3"/>
      <c r="H814" s="3"/>
    </row>
    <row r="815" spans="3:8" ht="15" customHeight="1">
      <c r="C815" s="37"/>
      <c r="F815" s="3"/>
      <c r="G815" s="3"/>
      <c r="H815" s="3"/>
    </row>
    <row r="816" spans="3:8" ht="15" customHeight="1">
      <c r="C816" s="37"/>
      <c r="F816" s="3"/>
      <c r="G816" s="3"/>
      <c r="H816" s="3"/>
    </row>
    <row r="817" spans="3:8" ht="15" customHeight="1">
      <c r="C817" s="37"/>
      <c r="F817" s="3"/>
      <c r="G817" s="3"/>
      <c r="H817" s="3"/>
    </row>
    <row r="818" spans="3:8" ht="15" customHeight="1">
      <c r="C818" s="37"/>
      <c r="F818" s="3"/>
      <c r="G818" s="3"/>
      <c r="H818" s="3"/>
    </row>
    <row r="819" spans="3:8" ht="15" customHeight="1">
      <c r="C819" s="37"/>
      <c r="F819" s="3"/>
      <c r="G819" s="3"/>
      <c r="H819" s="3"/>
    </row>
    <row r="820" spans="3:8" ht="15" customHeight="1">
      <c r="C820" s="37"/>
      <c r="F820" s="3"/>
      <c r="G820" s="3"/>
      <c r="H820" s="3"/>
    </row>
    <row r="821" spans="3:8" ht="15" customHeight="1">
      <c r="C821" s="37"/>
      <c r="F821" s="3"/>
      <c r="G821" s="3"/>
      <c r="H821" s="3"/>
    </row>
    <row r="822" spans="3:8" ht="15" customHeight="1">
      <c r="C822" s="37"/>
      <c r="F822" s="3"/>
      <c r="G822" s="3"/>
      <c r="H822" s="3"/>
    </row>
    <row r="823" spans="3:8" ht="15" customHeight="1">
      <c r="C823" s="37"/>
      <c r="F823" s="3"/>
      <c r="G823" s="3"/>
      <c r="H823" s="3"/>
    </row>
    <row r="824" spans="3:8" ht="15" customHeight="1">
      <c r="C824" s="37"/>
      <c r="F824" s="3"/>
      <c r="G824" s="3"/>
      <c r="H824" s="3"/>
    </row>
    <row r="825" spans="3:8" ht="15" customHeight="1">
      <c r="C825" s="37"/>
      <c r="F825" s="3"/>
      <c r="G825" s="3"/>
      <c r="H825" s="3"/>
    </row>
    <row r="826" spans="3:8" ht="15" customHeight="1">
      <c r="C826" s="37"/>
      <c r="F826" s="3"/>
      <c r="G826" s="3"/>
      <c r="H826" s="3"/>
    </row>
    <row r="827" spans="3:8" ht="15" customHeight="1">
      <c r="C827" s="37"/>
      <c r="F827" s="3"/>
      <c r="G827" s="3"/>
      <c r="H827" s="3"/>
    </row>
    <row r="828" spans="3:8" ht="15" customHeight="1">
      <c r="C828" s="37"/>
      <c r="F828" s="3"/>
      <c r="G828" s="3"/>
      <c r="H828" s="3"/>
    </row>
    <row r="829" spans="3:8" ht="15" customHeight="1">
      <c r="C829" s="37"/>
      <c r="F829" s="3"/>
      <c r="G829" s="3"/>
      <c r="H829" s="3"/>
    </row>
    <row r="830" spans="3:8" ht="15" customHeight="1">
      <c r="C830" s="37"/>
      <c r="F830" s="3"/>
      <c r="G830" s="3"/>
      <c r="H830" s="3"/>
    </row>
    <row r="831" spans="3:8" ht="15" customHeight="1">
      <c r="C831" s="37"/>
      <c r="F831" s="3"/>
      <c r="G831" s="3"/>
      <c r="H831" s="3"/>
    </row>
    <row r="832" spans="3:8" ht="15" customHeight="1">
      <c r="C832" s="37"/>
      <c r="F832" s="3"/>
      <c r="G832" s="3"/>
      <c r="H832" s="3"/>
    </row>
    <row r="833" spans="3:8" ht="15" customHeight="1">
      <c r="C833" s="37"/>
      <c r="F833" s="3"/>
      <c r="G833" s="3"/>
      <c r="H833" s="3"/>
    </row>
    <row r="834" spans="3:8" ht="15" customHeight="1">
      <c r="C834" s="37"/>
      <c r="F834" s="3"/>
      <c r="G834" s="3"/>
      <c r="H834" s="3"/>
    </row>
    <row r="835" spans="3:8" ht="15" customHeight="1">
      <c r="C835" s="37"/>
      <c r="F835" s="3"/>
      <c r="G835" s="3"/>
      <c r="H835" s="3"/>
    </row>
    <row r="836" spans="3:8" ht="15" customHeight="1">
      <c r="C836" s="37"/>
      <c r="F836" s="3"/>
      <c r="G836" s="3"/>
      <c r="H836" s="3"/>
    </row>
    <row r="837" spans="3:8" ht="15" customHeight="1">
      <c r="C837" s="37"/>
      <c r="F837" s="3"/>
      <c r="G837" s="3"/>
      <c r="H837" s="3"/>
    </row>
    <row r="838" spans="3:8" ht="15" customHeight="1">
      <c r="C838" s="37"/>
      <c r="F838" s="3"/>
      <c r="G838" s="3"/>
      <c r="H838" s="3"/>
    </row>
    <row r="839" spans="3:8" ht="15" customHeight="1">
      <c r="C839" s="37"/>
      <c r="F839" s="3"/>
      <c r="G839" s="3"/>
      <c r="H839" s="3"/>
    </row>
    <row r="840" spans="3:8" ht="15" customHeight="1">
      <c r="C840" s="37"/>
      <c r="F840" s="3"/>
      <c r="G840" s="3"/>
      <c r="H840" s="3"/>
    </row>
    <row r="841" spans="3:8" ht="15" customHeight="1">
      <c r="C841" s="37"/>
      <c r="F841" s="3"/>
      <c r="G841" s="3"/>
      <c r="H841" s="3"/>
    </row>
    <row r="842" spans="3:8" ht="15" customHeight="1">
      <c r="C842" s="37"/>
      <c r="F842" s="3"/>
      <c r="G842" s="3"/>
      <c r="H842" s="3"/>
    </row>
    <row r="843" spans="3:8" ht="15" customHeight="1">
      <c r="C843" s="37"/>
      <c r="F843" s="3"/>
      <c r="G843" s="3"/>
      <c r="H843" s="3"/>
    </row>
    <row r="844" spans="3:8" ht="15" customHeight="1">
      <c r="C844" s="37"/>
      <c r="F844" s="3"/>
      <c r="G844" s="3"/>
      <c r="H844" s="3"/>
    </row>
    <row r="845" spans="3:8" ht="15" customHeight="1">
      <c r="C845" s="37"/>
      <c r="F845" s="3"/>
      <c r="G845" s="3"/>
      <c r="H845" s="3"/>
    </row>
    <row r="846" spans="3:8" ht="15" customHeight="1">
      <c r="C846" s="37"/>
      <c r="F846" s="3"/>
      <c r="G846" s="3"/>
      <c r="H846" s="3"/>
    </row>
    <row r="847" spans="3:8" ht="15" customHeight="1">
      <c r="C847" s="37"/>
      <c r="F847" s="3"/>
      <c r="G847" s="3"/>
      <c r="H847" s="3"/>
    </row>
    <row r="848" spans="3:8" ht="15" customHeight="1">
      <c r="C848" s="37"/>
      <c r="F848" s="3"/>
      <c r="G848" s="3"/>
      <c r="H848" s="3"/>
    </row>
    <row r="849" spans="3:8" ht="15" customHeight="1">
      <c r="C849" s="37"/>
      <c r="F849" s="3"/>
      <c r="G849" s="3"/>
      <c r="H849" s="3"/>
    </row>
    <row r="850" spans="3:8" ht="15" customHeight="1">
      <c r="C850" s="37"/>
      <c r="F850" s="3"/>
      <c r="G850" s="3"/>
      <c r="H850" s="3"/>
    </row>
    <row r="851" spans="3:8" ht="15" customHeight="1">
      <c r="C851" s="37"/>
      <c r="F851" s="3"/>
      <c r="G851" s="3"/>
      <c r="H851" s="3"/>
    </row>
    <row r="852" spans="3:8" ht="15" customHeight="1">
      <c r="C852" s="37"/>
      <c r="F852" s="3"/>
      <c r="G852" s="3"/>
      <c r="H852" s="3"/>
    </row>
    <row r="853" spans="3:8" ht="15" customHeight="1">
      <c r="C853" s="37"/>
      <c r="F853" s="3"/>
      <c r="G853" s="3"/>
      <c r="H853" s="3"/>
    </row>
    <row r="854" spans="3:8" ht="15" customHeight="1">
      <c r="C854" s="37"/>
      <c r="F854" s="3"/>
      <c r="G854" s="3"/>
      <c r="H854" s="3"/>
    </row>
    <row r="855" spans="3:8" ht="15" customHeight="1">
      <c r="C855" s="37"/>
      <c r="F855" s="3"/>
      <c r="G855" s="3"/>
      <c r="H855" s="3"/>
    </row>
    <row r="856" spans="3:8" ht="15" customHeight="1">
      <c r="C856" s="37"/>
      <c r="F856" s="3"/>
      <c r="G856" s="3"/>
      <c r="H856" s="3"/>
    </row>
    <row r="857" spans="3:8" ht="15" customHeight="1">
      <c r="C857" s="37"/>
      <c r="F857" s="3"/>
      <c r="G857" s="3"/>
      <c r="H857" s="3"/>
    </row>
    <row r="858" spans="3:8" ht="15" customHeight="1">
      <c r="C858" s="37"/>
      <c r="F858" s="3"/>
      <c r="G858" s="3"/>
      <c r="H858" s="3"/>
    </row>
    <row r="859" spans="3:8" ht="15" customHeight="1">
      <c r="C859" s="37"/>
      <c r="F859" s="3"/>
      <c r="G859" s="3"/>
      <c r="H859" s="3"/>
    </row>
    <row r="860" spans="3:8" ht="15" customHeight="1">
      <c r="C860" s="37"/>
      <c r="F860" s="3"/>
      <c r="G860" s="3"/>
      <c r="H860" s="3"/>
    </row>
    <row r="861" spans="3:8" ht="15" customHeight="1">
      <c r="C861" s="37"/>
      <c r="F861" s="3"/>
      <c r="G861" s="3"/>
      <c r="H861" s="3"/>
    </row>
    <row r="862" spans="3:8" ht="15" customHeight="1">
      <c r="C862" s="37"/>
      <c r="F862" s="3"/>
      <c r="G862" s="3"/>
      <c r="H862" s="3"/>
    </row>
    <row r="863" spans="3:8" ht="15" customHeight="1">
      <c r="C863" s="37"/>
      <c r="F863" s="3"/>
      <c r="G863" s="3"/>
      <c r="H863" s="3"/>
    </row>
    <row r="864" spans="3:8" ht="15" customHeight="1">
      <c r="C864" s="37"/>
      <c r="F864" s="3"/>
      <c r="G864" s="3"/>
      <c r="H864" s="3"/>
    </row>
    <row r="865" spans="3:8" ht="15" customHeight="1">
      <c r="C865" s="37"/>
      <c r="F865" s="3"/>
      <c r="G865" s="3"/>
      <c r="H865" s="3"/>
    </row>
    <row r="866" spans="3:8" ht="15" customHeight="1">
      <c r="C866" s="37"/>
      <c r="F866" s="3"/>
      <c r="G866" s="3"/>
      <c r="H866" s="3"/>
    </row>
    <row r="867" spans="3:8" ht="15" customHeight="1">
      <c r="C867" s="37"/>
      <c r="F867" s="3"/>
      <c r="G867" s="3"/>
      <c r="H867" s="3"/>
    </row>
    <row r="868" spans="3:8" ht="15" customHeight="1">
      <c r="C868" s="37"/>
      <c r="F868" s="3"/>
      <c r="G868" s="3"/>
      <c r="H868" s="3"/>
    </row>
    <row r="869" spans="3:8" ht="15" customHeight="1">
      <c r="C869" s="37"/>
      <c r="F869" s="3"/>
      <c r="G869" s="3"/>
      <c r="H869" s="3"/>
    </row>
    <row r="870" spans="3:8" ht="15" customHeight="1">
      <c r="C870" s="37"/>
      <c r="F870" s="3"/>
      <c r="G870" s="3"/>
      <c r="H870" s="3"/>
    </row>
    <row r="871" spans="3:8" ht="15" customHeight="1">
      <c r="C871" s="37"/>
      <c r="F871" s="3"/>
      <c r="G871" s="3"/>
      <c r="H871" s="3"/>
    </row>
    <row r="872" spans="3:8" ht="15" customHeight="1">
      <c r="C872" s="37"/>
      <c r="F872" s="3"/>
      <c r="G872" s="3"/>
      <c r="H872" s="3"/>
    </row>
    <row r="873" spans="3:8" ht="15" customHeight="1">
      <c r="C873" s="37"/>
      <c r="F873" s="3"/>
      <c r="G873" s="3"/>
      <c r="H873" s="3"/>
    </row>
    <row r="874" spans="3:8" ht="15" customHeight="1">
      <c r="C874" s="37"/>
      <c r="F874" s="3"/>
      <c r="G874" s="3"/>
      <c r="H874" s="3"/>
    </row>
    <row r="875" spans="3:8" ht="15" customHeight="1">
      <c r="C875" s="37"/>
      <c r="F875" s="3"/>
      <c r="G875" s="3"/>
      <c r="H875" s="3"/>
    </row>
    <row r="876" spans="3:8" ht="15" customHeight="1">
      <c r="C876" s="37"/>
      <c r="F876" s="3"/>
      <c r="G876" s="3"/>
      <c r="H876" s="3"/>
    </row>
    <row r="877" spans="3:8" ht="15" customHeight="1">
      <c r="C877" s="37"/>
      <c r="F877" s="3"/>
      <c r="G877" s="3"/>
      <c r="H877" s="3"/>
    </row>
    <row r="878" spans="3:8" ht="15" customHeight="1">
      <c r="C878" s="37"/>
      <c r="F878" s="3"/>
      <c r="G878" s="3"/>
      <c r="H878" s="3"/>
    </row>
    <row r="879" spans="3:8" ht="15" customHeight="1">
      <c r="C879" s="37"/>
      <c r="F879" s="3"/>
      <c r="G879" s="3"/>
      <c r="H879" s="3"/>
    </row>
    <row r="880" spans="3:8" ht="15" customHeight="1">
      <c r="C880" s="37"/>
      <c r="F880" s="3"/>
      <c r="G880" s="3"/>
      <c r="H880" s="3"/>
    </row>
    <row r="881" spans="3:8" ht="15" customHeight="1">
      <c r="C881" s="37"/>
      <c r="F881" s="3"/>
      <c r="G881" s="3"/>
      <c r="H881" s="3"/>
    </row>
    <row r="882" spans="3:8" ht="15" customHeight="1">
      <c r="C882" s="37"/>
      <c r="F882" s="3"/>
      <c r="G882" s="3"/>
      <c r="H882" s="3"/>
    </row>
    <row r="883" spans="3:8" ht="15" customHeight="1">
      <c r="C883" s="37"/>
      <c r="F883" s="3"/>
      <c r="G883" s="3"/>
      <c r="H883" s="3"/>
    </row>
    <row r="884" spans="3:8" ht="15" customHeight="1">
      <c r="C884" s="37"/>
      <c r="F884" s="3"/>
      <c r="G884" s="3"/>
      <c r="H884" s="3"/>
    </row>
    <row r="885" spans="3:8" ht="15" customHeight="1">
      <c r="C885" s="37"/>
      <c r="F885" s="3"/>
      <c r="G885" s="3"/>
      <c r="H885" s="3"/>
    </row>
    <row r="886" spans="3:8" ht="15" customHeight="1">
      <c r="C886" s="37"/>
      <c r="F886" s="3"/>
      <c r="G886" s="3"/>
      <c r="H886" s="3"/>
    </row>
    <row r="887" spans="3:8" ht="15" customHeight="1">
      <c r="C887" s="37"/>
      <c r="F887" s="3"/>
      <c r="G887" s="3"/>
      <c r="H887" s="3"/>
    </row>
    <row r="888" spans="3:8" ht="15" customHeight="1">
      <c r="C888" s="37"/>
      <c r="F888" s="3"/>
      <c r="G888" s="3"/>
      <c r="H888" s="3"/>
    </row>
    <row r="889" spans="3:8" ht="15" customHeight="1">
      <c r="C889" s="37"/>
      <c r="F889" s="3"/>
      <c r="G889" s="3"/>
      <c r="H889" s="3"/>
    </row>
    <row r="890" spans="3:8" ht="15" customHeight="1">
      <c r="C890" s="37"/>
      <c r="F890" s="3"/>
      <c r="G890" s="3"/>
      <c r="H890" s="3"/>
    </row>
    <row r="891" spans="3:8" ht="15" customHeight="1">
      <c r="C891" s="37"/>
      <c r="F891" s="3"/>
      <c r="G891" s="3"/>
      <c r="H891" s="3"/>
    </row>
    <row r="892" spans="3:8" ht="15" customHeight="1">
      <c r="C892" s="37"/>
      <c r="F892" s="3"/>
      <c r="G892" s="3"/>
      <c r="H892" s="3"/>
    </row>
    <row r="893" spans="3:8" ht="15" customHeight="1">
      <c r="C893" s="37"/>
      <c r="F893" s="3"/>
      <c r="G893" s="3"/>
      <c r="H893" s="3"/>
    </row>
    <row r="894" spans="3:8" ht="15" customHeight="1">
      <c r="C894" s="37"/>
      <c r="F894" s="3"/>
      <c r="G894" s="3"/>
      <c r="H894" s="3"/>
    </row>
    <row r="895" spans="3:8" ht="15" customHeight="1">
      <c r="C895" s="37"/>
      <c r="F895" s="3"/>
      <c r="G895" s="3"/>
      <c r="H895" s="3"/>
    </row>
    <row r="896" spans="3:8" ht="15" customHeight="1">
      <c r="C896" s="37"/>
      <c r="F896" s="3"/>
      <c r="G896" s="3"/>
      <c r="H896" s="3"/>
    </row>
    <row r="897" spans="3:8" ht="15" customHeight="1">
      <c r="C897" s="37"/>
      <c r="F897" s="3"/>
      <c r="G897" s="3"/>
      <c r="H897" s="3"/>
    </row>
    <row r="898" spans="3:8" ht="15" customHeight="1">
      <c r="C898" s="37"/>
      <c r="F898" s="3"/>
      <c r="G898" s="3"/>
      <c r="H898" s="3"/>
    </row>
    <row r="899" spans="3:8" ht="15" customHeight="1">
      <c r="C899" s="37"/>
      <c r="F899" s="3"/>
      <c r="G899" s="3"/>
      <c r="H899" s="3"/>
    </row>
    <row r="900" spans="3:8" ht="15" customHeight="1">
      <c r="C900" s="37"/>
      <c r="F900" s="3"/>
      <c r="G900" s="3"/>
      <c r="H900" s="3"/>
    </row>
    <row r="901" spans="3:8" ht="15" customHeight="1">
      <c r="C901" s="37"/>
      <c r="F901" s="3"/>
      <c r="G901" s="3"/>
      <c r="H901" s="3"/>
    </row>
    <row r="902" spans="3:8" ht="15" customHeight="1">
      <c r="C902" s="37"/>
      <c r="F902" s="3"/>
      <c r="G902" s="3"/>
      <c r="H902" s="3"/>
    </row>
    <row r="903" spans="3:8" ht="15" customHeight="1">
      <c r="C903" s="37"/>
      <c r="F903" s="3"/>
      <c r="G903" s="3"/>
      <c r="H903" s="3"/>
    </row>
    <row r="904" spans="3:8" ht="15" customHeight="1">
      <c r="C904" s="37"/>
      <c r="F904" s="3"/>
      <c r="G904" s="3"/>
      <c r="H904" s="3"/>
    </row>
    <row r="905" spans="3:8" ht="15" customHeight="1">
      <c r="C905" s="37"/>
      <c r="F905" s="3"/>
      <c r="G905" s="3"/>
      <c r="H905" s="3"/>
    </row>
    <row r="906" spans="3:8" ht="15" customHeight="1">
      <c r="C906" s="37"/>
      <c r="F906" s="3"/>
      <c r="G906" s="3"/>
      <c r="H906" s="3"/>
    </row>
    <row r="907" spans="3:8" ht="15" customHeight="1">
      <c r="C907" s="37"/>
      <c r="F907" s="3"/>
      <c r="G907" s="3"/>
      <c r="H907" s="3"/>
    </row>
    <row r="908" spans="3:8" ht="15" customHeight="1">
      <c r="C908" s="37"/>
      <c r="F908" s="3"/>
      <c r="G908" s="3"/>
      <c r="H908" s="3"/>
    </row>
    <row r="909" spans="3:8" ht="15" customHeight="1">
      <c r="C909" s="37"/>
      <c r="F909" s="3"/>
      <c r="G909" s="3"/>
      <c r="H909" s="3"/>
    </row>
    <row r="910" spans="3:8" ht="15" customHeight="1">
      <c r="C910" s="37"/>
      <c r="F910" s="3"/>
      <c r="G910" s="3"/>
      <c r="H910" s="3"/>
    </row>
    <row r="911" spans="3:8" ht="15" customHeight="1">
      <c r="C911" s="37"/>
      <c r="F911" s="3"/>
      <c r="G911" s="3"/>
      <c r="H911" s="3"/>
    </row>
    <row r="912" spans="3:8" ht="15" customHeight="1">
      <c r="C912" s="37"/>
      <c r="F912" s="3"/>
      <c r="G912" s="3"/>
      <c r="H912" s="3"/>
    </row>
    <row r="913" spans="3:8" ht="15" customHeight="1">
      <c r="C913" s="37"/>
      <c r="F913" s="3"/>
      <c r="G913" s="3"/>
      <c r="H913" s="3"/>
    </row>
    <row r="914" spans="3:8" ht="15" customHeight="1">
      <c r="C914" s="37"/>
      <c r="F914" s="3"/>
      <c r="G914" s="3"/>
      <c r="H914" s="3"/>
    </row>
    <row r="915" spans="3:8" ht="15" customHeight="1">
      <c r="C915" s="37"/>
      <c r="F915" s="3"/>
      <c r="G915" s="3"/>
      <c r="H915" s="3"/>
    </row>
    <row r="916" spans="3:8" ht="15" customHeight="1">
      <c r="C916" s="37"/>
      <c r="F916" s="3"/>
      <c r="G916" s="3"/>
      <c r="H916" s="3"/>
    </row>
    <row r="917" spans="3:8" ht="15" customHeight="1">
      <c r="C917" s="37"/>
      <c r="F917" s="3"/>
      <c r="G917" s="3"/>
      <c r="H917" s="3"/>
    </row>
    <row r="918" spans="3:8" ht="15" customHeight="1">
      <c r="C918" s="37"/>
      <c r="F918" s="3"/>
      <c r="G918" s="3"/>
      <c r="H918" s="3"/>
    </row>
    <row r="919" spans="3:8" ht="15" customHeight="1">
      <c r="C919" s="37"/>
      <c r="F919" s="3"/>
      <c r="G919" s="3"/>
      <c r="H919" s="3"/>
    </row>
    <row r="920" spans="3:8" ht="15" customHeight="1">
      <c r="C920" s="37"/>
      <c r="F920" s="3"/>
      <c r="G920" s="3"/>
      <c r="H920" s="3"/>
    </row>
    <row r="921" spans="3:8" ht="15" customHeight="1">
      <c r="C921" s="37"/>
      <c r="F921" s="3"/>
      <c r="G921" s="3"/>
      <c r="H921" s="3"/>
    </row>
    <row r="922" spans="3:8" ht="15" customHeight="1">
      <c r="C922" s="37"/>
      <c r="F922" s="3"/>
      <c r="G922" s="3"/>
      <c r="H922" s="3"/>
    </row>
    <row r="923" spans="3:8" ht="15" customHeight="1">
      <c r="C923" s="37"/>
      <c r="F923" s="3"/>
      <c r="G923" s="3"/>
      <c r="H923" s="3"/>
    </row>
    <row r="924" spans="3:8" ht="15" customHeight="1">
      <c r="C924" s="37"/>
      <c r="F924" s="3"/>
      <c r="G924" s="3"/>
      <c r="H924" s="3"/>
    </row>
    <row r="925" spans="3:8" ht="15" customHeight="1">
      <c r="C925" s="37"/>
      <c r="F925" s="3"/>
      <c r="G925" s="3"/>
      <c r="H925" s="3"/>
    </row>
    <row r="926" spans="3:8" ht="15" customHeight="1">
      <c r="C926" s="37"/>
      <c r="F926" s="3"/>
      <c r="G926" s="3"/>
      <c r="H926" s="3"/>
    </row>
    <row r="927" spans="3:8" ht="15" customHeight="1">
      <c r="C927" s="37"/>
      <c r="F927" s="3"/>
      <c r="G927" s="3"/>
      <c r="H927" s="3"/>
    </row>
    <row r="928" spans="3:8" ht="15" customHeight="1">
      <c r="C928" s="37"/>
      <c r="F928" s="3"/>
      <c r="G928" s="3"/>
      <c r="H928" s="3"/>
    </row>
    <row r="929" spans="3:8" ht="15" customHeight="1">
      <c r="C929" s="37"/>
      <c r="F929" s="3"/>
      <c r="G929" s="3"/>
      <c r="H929" s="3"/>
    </row>
    <row r="930" spans="3:8" ht="15" customHeight="1">
      <c r="C930" s="37"/>
      <c r="F930" s="3"/>
      <c r="G930" s="3"/>
      <c r="H930" s="3"/>
    </row>
    <row r="931" spans="3:8" ht="15" customHeight="1">
      <c r="C931" s="37"/>
      <c r="F931" s="3"/>
      <c r="G931" s="3"/>
      <c r="H931" s="3"/>
    </row>
    <row r="932" spans="3:8" ht="15" customHeight="1">
      <c r="C932" s="37"/>
      <c r="F932" s="3"/>
      <c r="G932" s="3"/>
      <c r="H932" s="3"/>
    </row>
    <row r="933" spans="3:8" ht="15" customHeight="1">
      <c r="C933" s="37"/>
      <c r="F933" s="3"/>
      <c r="G933" s="3"/>
      <c r="H933" s="3"/>
    </row>
    <row r="934" spans="3:8" ht="15" customHeight="1">
      <c r="C934" s="37"/>
      <c r="F934" s="3"/>
      <c r="G934" s="3"/>
      <c r="H934" s="3"/>
    </row>
    <row r="935" spans="3:8" ht="15" customHeight="1">
      <c r="C935" s="37"/>
      <c r="F935" s="3"/>
      <c r="G935" s="3"/>
      <c r="H935" s="3"/>
    </row>
    <row r="936" spans="3:8" ht="15" customHeight="1">
      <c r="C936" s="37"/>
      <c r="F936" s="3"/>
      <c r="G936" s="3"/>
      <c r="H936" s="3"/>
    </row>
    <row r="937" spans="3:8" ht="15" customHeight="1">
      <c r="C937" s="37"/>
      <c r="F937" s="3"/>
      <c r="G937" s="3"/>
      <c r="H937" s="3"/>
    </row>
    <row r="938" spans="3:8" ht="15" customHeight="1">
      <c r="C938" s="37"/>
      <c r="F938" s="3"/>
      <c r="G938" s="3"/>
      <c r="H938" s="3"/>
    </row>
    <row r="939" spans="3:8" ht="15" customHeight="1">
      <c r="C939" s="37"/>
      <c r="F939" s="3"/>
      <c r="G939" s="3"/>
      <c r="H939" s="3"/>
    </row>
    <row r="940" spans="3:8" ht="15" customHeight="1">
      <c r="C940" s="37"/>
      <c r="F940" s="3"/>
      <c r="G940" s="3"/>
      <c r="H940" s="3"/>
    </row>
    <row r="941" spans="3:8" ht="15" customHeight="1">
      <c r="C941" s="37"/>
      <c r="F941" s="3"/>
      <c r="G941" s="3"/>
      <c r="H941" s="3"/>
    </row>
    <row r="942" spans="3:8" ht="15" customHeight="1">
      <c r="C942" s="37"/>
      <c r="F942" s="3"/>
      <c r="G942" s="3"/>
      <c r="H942" s="3"/>
    </row>
    <row r="943" spans="3:8" ht="15" customHeight="1">
      <c r="C943" s="37"/>
      <c r="F943" s="3"/>
      <c r="G943" s="3"/>
      <c r="H943" s="3"/>
    </row>
    <row r="944" spans="3:8" ht="15" customHeight="1">
      <c r="C944" s="37"/>
      <c r="F944" s="3"/>
      <c r="G944" s="3"/>
      <c r="H944" s="3"/>
    </row>
    <row r="945" spans="3:8" ht="15" customHeight="1">
      <c r="C945" s="37"/>
      <c r="F945" s="3"/>
      <c r="G945" s="3"/>
      <c r="H945" s="3"/>
    </row>
    <row r="946" spans="3:8" ht="15" customHeight="1">
      <c r="C946" s="37"/>
      <c r="F946" s="3"/>
      <c r="G946" s="3"/>
      <c r="H946" s="3"/>
    </row>
    <row r="947" spans="3:8" ht="15" customHeight="1">
      <c r="C947" s="37"/>
      <c r="F947" s="3"/>
      <c r="G947" s="3"/>
      <c r="H947" s="3"/>
    </row>
    <row r="948" spans="3:8" ht="15" customHeight="1">
      <c r="C948" s="37"/>
      <c r="F948" s="3"/>
      <c r="G948" s="3"/>
      <c r="H948" s="3"/>
    </row>
    <row r="949" spans="3:8" ht="15" customHeight="1">
      <c r="C949" s="37"/>
      <c r="F949" s="3"/>
      <c r="G949" s="3"/>
      <c r="H949" s="3"/>
    </row>
    <row r="950" spans="3:8" ht="15" customHeight="1">
      <c r="C950" s="37"/>
      <c r="F950" s="3"/>
      <c r="G950" s="3"/>
      <c r="H950" s="3"/>
    </row>
    <row r="951" spans="3:8" ht="15" customHeight="1">
      <c r="C951" s="37"/>
      <c r="F951" s="3"/>
      <c r="G951" s="3"/>
      <c r="H951" s="3"/>
    </row>
    <row r="952" spans="3:8" ht="15" customHeight="1">
      <c r="C952" s="37"/>
      <c r="F952" s="3"/>
      <c r="G952" s="3"/>
      <c r="H952" s="3"/>
    </row>
    <row r="953" spans="3:8" ht="15" customHeight="1">
      <c r="C953" s="37"/>
      <c r="F953" s="3"/>
      <c r="G953" s="3"/>
      <c r="H953" s="3"/>
    </row>
    <row r="954" spans="3:8" ht="15" customHeight="1">
      <c r="C954" s="37"/>
      <c r="F954" s="3"/>
      <c r="G954" s="3"/>
      <c r="H954" s="3"/>
    </row>
    <row r="955" spans="3:8" ht="15" customHeight="1">
      <c r="C955" s="37"/>
      <c r="F955" s="3"/>
      <c r="G955" s="3"/>
      <c r="H955" s="3"/>
    </row>
    <row r="956" spans="3:8" ht="15" customHeight="1">
      <c r="C956" s="37"/>
      <c r="F956" s="3"/>
      <c r="G956" s="3"/>
      <c r="H956" s="3"/>
    </row>
    <row r="957" spans="3:8" ht="15" customHeight="1">
      <c r="C957" s="37"/>
      <c r="F957" s="3"/>
      <c r="G957" s="3"/>
      <c r="H957" s="3"/>
    </row>
    <row r="958" spans="3:8" ht="15" customHeight="1">
      <c r="C958" s="37"/>
      <c r="F958" s="3"/>
      <c r="G958" s="3"/>
      <c r="H958" s="3"/>
    </row>
    <row r="959" spans="3:8" ht="15" customHeight="1">
      <c r="C959" s="37"/>
      <c r="F959" s="3"/>
      <c r="G959" s="3"/>
      <c r="H959" s="3"/>
    </row>
    <row r="960" spans="3:8" ht="15" customHeight="1">
      <c r="C960" s="37"/>
      <c r="F960" s="3"/>
      <c r="G960" s="3"/>
      <c r="H960" s="3"/>
    </row>
    <row r="961" spans="3:8" ht="15" customHeight="1">
      <c r="C961" s="37"/>
      <c r="F961" s="3"/>
      <c r="G961" s="3"/>
      <c r="H961" s="3"/>
    </row>
    <row r="962" spans="3:8" ht="15" customHeight="1">
      <c r="C962" s="37"/>
      <c r="F962" s="3"/>
      <c r="G962" s="3"/>
      <c r="H962" s="3"/>
    </row>
    <row r="963" spans="3:8" ht="15" customHeight="1">
      <c r="C963" s="37"/>
      <c r="F963" s="3"/>
      <c r="G963" s="3"/>
      <c r="H963" s="3"/>
    </row>
    <row r="964" spans="3:8" ht="15" customHeight="1">
      <c r="C964" s="37"/>
      <c r="F964" s="3"/>
      <c r="G964" s="3"/>
      <c r="H964" s="3"/>
    </row>
    <row r="965" spans="3:8" ht="15" customHeight="1">
      <c r="C965" s="37"/>
      <c r="F965" s="3"/>
      <c r="G965" s="3"/>
      <c r="H965" s="3"/>
    </row>
    <row r="966" spans="3:8" ht="15" customHeight="1">
      <c r="C966" s="37"/>
      <c r="F966" s="3"/>
      <c r="G966" s="3"/>
      <c r="H966" s="3"/>
    </row>
    <row r="967" spans="3:8" ht="15" customHeight="1">
      <c r="C967" s="37"/>
      <c r="F967" s="3"/>
      <c r="G967" s="3"/>
      <c r="H967" s="3"/>
    </row>
    <row r="968" spans="3:8" ht="15" customHeight="1">
      <c r="C968" s="37"/>
      <c r="F968" s="3"/>
      <c r="G968" s="3"/>
      <c r="H968" s="3"/>
    </row>
    <row r="969" spans="3:8" ht="15" customHeight="1">
      <c r="C969" s="37"/>
      <c r="F969" s="3"/>
      <c r="G969" s="3"/>
      <c r="H969" s="3"/>
    </row>
    <row r="970" spans="3:8" ht="15" customHeight="1">
      <c r="C970" s="37"/>
      <c r="F970" s="3"/>
      <c r="G970" s="3"/>
      <c r="H970" s="3"/>
    </row>
    <row r="971" spans="3:8" ht="15" customHeight="1">
      <c r="C971" s="37"/>
      <c r="F971" s="3"/>
      <c r="G971" s="3"/>
      <c r="H971" s="3"/>
    </row>
    <row r="972" spans="3:8" ht="15" customHeight="1">
      <c r="C972" s="37"/>
      <c r="F972" s="3"/>
      <c r="G972" s="3"/>
      <c r="H972" s="3"/>
    </row>
    <row r="973" spans="3:8" ht="15" customHeight="1">
      <c r="C973" s="37"/>
      <c r="F973" s="3"/>
      <c r="G973" s="3"/>
      <c r="H973" s="3"/>
    </row>
    <row r="974" spans="3:8" ht="15" customHeight="1">
      <c r="C974" s="37"/>
      <c r="F974" s="3"/>
      <c r="G974" s="3"/>
      <c r="H974" s="3"/>
    </row>
    <row r="975" spans="3:8" ht="15" customHeight="1">
      <c r="C975" s="37"/>
      <c r="F975" s="3"/>
      <c r="G975" s="3"/>
      <c r="H975" s="3"/>
    </row>
    <row r="976" spans="3:8" ht="15" customHeight="1">
      <c r="C976" s="37"/>
      <c r="F976" s="3"/>
      <c r="G976" s="3"/>
      <c r="H976" s="3"/>
    </row>
    <row r="977" spans="3:8" ht="15" customHeight="1">
      <c r="C977" s="37"/>
      <c r="F977" s="3"/>
      <c r="G977" s="3"/>
      <c r="H977" s="3"/>
    </row>
    <row r="978" spans="3:8" ht="15" customHeight="1">
      <c r="C978" s="37"/>
      <c r="F978" s="3"/>
      <c r="G978" s="3"/>
      <c r="H978" s="3"/>
    </row>
    <row r="979" spans="3:8" ht="15" customHeight="1">
      <c r="C979" s="37"/>
      <c r="F979" s="3"/>
      <c r="G979" s="3"/>
      <c r="H979" s="3"/>
    </row>
    <row r="980" spans="3:8" ht="15" customHeight="1">
      <c r="C980" s="37"/>
      <c r="F980" s="3"/>
      <c r="G980" s="3"/>
      <c r="H980" s="3"/>
    </row>
    <row r="981" spans="3:8" ht="15" customHeight="1">
      <c r="C981" s="37"/>
      <c r="F981" s="3"/>
      <c r="G981" s="3"/>
      <c r="H981" s="3"/>
    </row>
    <row r="982" spans="3:8" ht="15" customHeight="1">
      <c r="C982" s="37"/>
      <c r="F982" s="3"/>
      <c r="G982" s="3"/>
      <c r="H982" s="3"/>
    </row>
    <row r="983" spans="3:8" ht="15" customHeight="1">
      <c r="C983" s="37"/>
      <c r="F983" s="3"/>
      <c r="G983" s="3"/>
      <c r="H983" s="3"/>
    </row>
    <row r="984" spans="3:8" ht="15" customHeight="1">
      <c r="C984" s="37"/>
      <c r="F984" s="3"/>
      <c r="G984" s="3"/>
      <c r="H984" s="3"/>
    </row>
    <row r="985" spans="3:8" ht="15" customHeight="1">
      <c r="C985" s="37"/>
      <c r="F985" s="3"/>
      <c r="G985" s="3"/>
      <c r="H985" s="3"/>
    </row>
    <row r="986" spans="3:8" ht="15" customHeight="1">
      <c r="C986" s="37"/>
      <c r="F986" s="3"/>
      <c r="G986" s="3"/>
      <c r="H986" s="3"/>
    </row>
    <row r="987" spans="3:8" ht="15" customHeight="1">
      <c r="C987" s="37"/>
      <c r="F987" s="3"/>
      <c r="G987" s="3"/>
      <c r="H987" s="3"/>
    </row>
    <row r="988" spans="3:8" ht="15" customHeight="1">
      <c r="C988" s="37"/>
      <c r="F988" s="3"/>
      <c r="G988" s="3"/>
      <c r="H988" s="3"/>
    </row>
    <row r="989" spans="3:8" ht="15" customHeight="1">
      <c r="C989" s="37"/>
      <c r="F989" s="3"/>
      <c r="G989" s="3"/>
      <c r="H989" s="3"/>
    </row>
    <row r="990" spans="3:8" ht="15" customHeight="1">
      <c r="C990" s="37"/>
      <c r="F990" s="3"/>
      <c r="G990" s="3"/>
      <c r="H990" s="3"/>
    </row>
    <row r="991" spans="3:8" ht="15" customHeight="1">
      <c r="C991" s="37"/>
      <c r="F991" s="3"/>
      <c r="G991" s="3"/>
      <c r="H991" s="3"/>
    </row>
    <row r="992" spans="3:8" ht="15" customHeight="1">
      <c r="C992" s="37"/>
      <c r="F992" s="3"/>
      <c r="G992" s="3"/>
      <c r="H992" s="3"/>
    </row>
    <row r="993" spans="3:8" ht="15" customHeight="1">
      <c r="C993" s="37"/>
      <c r="F993" s="3"/>
      <c r="G993" s="3"/>
      <c r="H993" s="3"/>
    </row>
    <row r="994" spans="3:8" ht="15" customHeight="1">
      <c r="C994" s="37"/>
      <c r="F994" s="3"/>
      <c r="G994" s="3"/>
      <c r="H994" s="3"/>
    </row>
    <row r="995" spans="3:8" ht="15" customHeight="1">
      <c r="C995" s="37"/>
      <c r="F995" s="3"/>
      <c r="G995" s="3"/>
      <c r="H995" s="3"/>
    </row>
    <row r="996" spans="3:8" ht="15" customHeight="1">
      <c r="C996" s="37"/>
      <c r="F996" s="3"/>
      <c r="G996" s="3"/>
      <c r="H996" s="3"/>
    </row>
    <row r="997" spans="3:8" ht="15" customHeight="1">
      <c r="C997" s="37"/>
      <c r="F997" s="3"/>
      <c r="G997" s="3"/>
      <c r="H997" s="3"/>
    </row>
    <row r="998" spans="3:8" ht="15" customHeight="1">
      <c r="C998" s="37"/>
      <c r="F998" s="3"/>
      <c r="G998" s="3"/>
      <c r="H998" s="3"/>
    </row>
    <row r="999" spans="3:8" ht="15" customHeight="1">
      <c r="C999" s="37"/>
      <c r="F999" s="3"/>
      <c r="G999" s="3"/>
      <c r="H999" s="3"/>
    </row>
    <row r="1000" spans="3:8" ht="15" customHeight="1">
      <c r="C1000" s="37"/>
      <c r="F1000" s="3"/>
      <c r="G1000" s="3"/>
      <c r="H1000" s="3"/>
    </row>
  </sheetData>
  <mergeCells count="2">
    <mergeCell ref="A2:H2"/>
    <mergeCell ref="A1:H1"/>
  </mergeCells>
  <conditionalFormatting sqref="D4:D1000">
    <cfRule type="cellIs" dxfId="4" priority="2" operator="equal">
      <formula>1</formula>
    </cfRule>
    <cfRule type="cellIs" dxfId="3" priority="3" operator="equal">
      <formula>2</formula>
    </cfRule>
    <cfRule type="cellIs" dxfId="2" priority="4" operator="equal">
      <formula>3</formula>
    </cfRule>
    <cfRule type="cellIs" dxfId="1" priority="5" operator="equal">
      <formula>4</formula>
    </cfRule>
    <cfRule type="cellIs" dxfId="0" priority="6" operator="equal">
      <formula>5</formula>
    </cfRule>
  </conditionalFormatting>
  <dataValidations count="2">
    <dataValidation type="list" allowBlank="1" sqref="D4:D1000" xr:uid="{00000000-0002-0000-0E00-000000000000}">
      <formula1>"1,2,3,4,5"</formula1>
      <formula2>0</formula2>
    </dataValidation>
    <dataValidation type="list" allowBlank="1" sqref="E4:E1000" xr:uid="{00000000-0002-0000-0E00-000001000000}">
      <formula1>"Oui immédiatement,Oui mais j'ai besoin de plus de pratique,Pas sûr,Non"</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15</vt:i4>
      </vt:variant>
    </vt:vector>
  </HeadingPairs>
  <TitlesOfParts>
    <vt:vector size="15" baseType="lpstr">
      <vt:lpstr>Convention</vt:lpstr>
      <vt:lpstr>Référentiel</vt:lpstr>
      <vt:lpstr>Événements</vt:lpstr>
      <vt:lpstr>Saisie 2026-02</vt:lpstr>
      <vt:lpstr>Saisie 2026-03</vt:lpstr>
      <vt:lpstr>Saisie 2026-04</vt:lpstr>
      <vt:lpstr>Saisie 2026-05</vt:lpstr>
      <vt:lpstr>Saisie 2026-06</vt:lpstr>
      <vt:lpstr>Saisie 2026-07</vt:lpstr>
      <vt:lpstr>Formations</vt:lpstr>
      <vt:lpstr>Formations_Participations</vt:lpstr>
      <vt:lpstr>Log</vt:lpstr>
      <vt:lpstr>Synthèse mensuelle</vt:lpstr>
      <vt:lpstr>Synthèse consultant</vt:lpstr>
      <vt:lpstr>Formation_Feedbacks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Jérémie KIEFFER</cp:lastModifiedBy>
  <cp:revision>0</cp:revision>
  <dcterms:created xsi:type="dcterms:W3CDTF">2026-04-27T09:55:04Z</dcterms:created>
  <dcterms:modified xsi:type="dcterms:W3CDTF">2026-07-28T07:47:31Z</dcterms:modified>
  <dc:language>en-US</dc:language>
</cp:coreProperties>
</file>