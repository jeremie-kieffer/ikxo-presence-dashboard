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Convention" sheetId="1" state="visible" r:id="rId3"/>
    <sheet name="Référentiel" sheetId="2" state="visible" r:id="rId4"/>
    <sheet name="Événements" sheetId="3" state="visible" r:id="rId5"/>
    <sheet name="Saisie 2026-02" sheetId="4" state="visible" r:id="rId6"/>
    <sheet name="Saisie 2026-03" sheetId="5" state="visible" r:id="rId7"/>
    <sheet name="Saisie 2026-04" sheetId="6" state="visible" r:id="rId8"/>
    <sheet name="Saisie 2026-05" sheetId="7" state="visible" r:id="rId9"/>
    <sheet name="Saisie 2026-06" sheetId="8" state="visible" r:id="rId10"/>
    <sheet name="Saisie 2026-07" sheetId="9" state="visible" r:id="rId11"/>
    <sheet name="Formations" sheetId="10" state="visible" r:id="rId12"/>
    <sheet name="Formations_Participations" sheetId="11" state="visible" r:id="rId13"/>
    <sheet name="Log" sheetId="12" state="visible" r:id="rId14"/>
    <sheet name="Synthèse mensuelle" sheetId="13" state="visible" r:id="rId15"/>
    <sheet name="Synthèse consultant" sheetId="14" state="visible" r:id="rId16"/>
    <sheet name="Formation_Feedback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<sst xmlns="http://schemas.openxmlformats.org/spreadsheetml/2006/main" count="1168" uniqueCount="403">
  <si>
    <t xml:space="preserve">Convention de saisie — Suivi de présence consultants</t>
  </si>
  <si>
    <t xml:space="preserve">Ce fichier sert à suivre la présence des consultants au bureau et à mesurer notre OKR (objectif : 2 jours/mois minimum par consultant).</t>
  </si>
  <si>
    <t xml:space="preserve">Symboles à utiliser dans les onglets de saisie mensuelle</t>
  </si>
  <si>
    <t xml:space="preserve">Symbole</t>
  </si>
  <si>
    <t xml:space="preserve">Signification</t>
  </si>
  <si>
    <t xml:space="preserve">Impact sur le calcul</t>
  </si>
  <si>
    <t xml:space="preserve">1</t>
  </si>
  <si>
    <t xml:space="preserve">Présence au bureau</t>
  </si>
  <si>
    <t xml:space="preserve">Compte dans le total de présences du consultant</t>
  </si>
  <si>
    <t xml:space="preserve">IC</t>
  </si>
  <si>
    <t xml:space="preserve">Présence pendant une période d'intercontrat</t>
  </si>
  <si>
    <t xml:space="preserve">Compte comme une présence dans le total OKR. Permet de visualiser la période d'intercontrat.</t>
  </si>
  <si>
    <t xml:space="preserve">(vide)</t>
  </si>
  <si>
    <t xml:space="preserve">Absence par défaut (pas venu, en mission, télétravail, congés courts)</t>
  </si>
  <si>
    <t xml:space="preserve">Compte comme "non présent" — sous l'objectif si pas assez de "1"</t>
  </si>
  <si>
    <t xml:space="preserve">M</t>
  </si>
  <si>
    <t xml:space="preserve">Absence longue : congé maternité/paternité, parental, maladie longue, sabbatique</t>
  </si>
  <si>
    <t xml:space="preserve">Le consultant est exclu du calcul d'atteinte OKR pour ce mois</t>
  </si>
  <si>
    <t xml:space="preserve">X</t>
  </si>
  <si>
    <t xml:space="preserve">Date d'un événement (ligne XO Day, XO Product Day, Séminaire)</t>
  </si>
  <si>
    <t xml:space="preserve">Permet d'overlay l'événement sur les graphiques</t>
  </si>
  <si>
    <t xml:space="preserve">Comment utiliser le fichier</t>
  </si>
  <si>
    <t xml:space="preserve">1. Onglet "Référentiel" : ajoute/retire les consultants au fil des arrivées et départs.</t>
  </si>
  <si>
    <t xml:space="preserve">2. Onglet "Événements" : déclare en amont les XO Days, XO Product Days et séminaires prévus.</t>
  </si>
  <si>
    <t xml:space="preserve">3. Onglets "Saisie YYYY-MM" : saisie quotidienne des présences (1 dans la cellule). Crée un nouvel onglet par mois.</t>
  </si>
  <si>
    <t xml:space="preserve">4. Onglet "Log" : se met à jour automatiquement, pas de saisie manuelle. C'est la source pour le dashboard.</t>
  </si>
  <si>
    <t xml:space="preserve">5. Onglets "Synthèse" : KPI calculés automatiquement.</t>
  </si>
  <si>
    <t xml:space="preserve">Note importante</t>
  </si>
  <si>
    <t xml:space="preserve">Ce fichier est un fichier source. Les données calculées dans les onglets Log et Synthèse alimentent un dashboard externe (web). Ne pas modifier les formules de ces onglets.</t>
  </si>
  <si>
    <t xml:space="preserve">Symboles à utiliser dans l'onglet Formations_Participations</t>
  </si>
  <si>
    <t xml:space="preserve">F</t>
  </si>
  <si>
    <t xml:space="preserve">Formateur(rice) de la session</t>
  </si>
  <si>
    <t xml:space="preserve">Compte comme une animation dans le total du consultant (bleu)</t>
  </si>
  <si>
    <t xml:space="preserve">P</t>
  </si>
  <si>
    <t xml:space="preserve">Participant(e) présent(e) à la session</t>
  </si>
  <si>
    <t xml:space="preserve">Compte comme une participation dans le total du consultant (vert)</t>
  </si>
  <si>
    <t xml:space="preserve">Non concerné par la session</t>
  </si>
  <si>
    <t xml:space="preserve">Ne compte pas</t>
  </si>
  <si>
    <t xml:space="preserve">Conventions pour l'onglet Formations</t>
  </si>
  <si>
    <t xml:space="preserve">id_session</t>
  </si>
  <si>
    <t xml:space="preserve">Format F-YYYY-NNN. NNN incrément manuel, remis à 1 chaque année (ex. F-2026-001).</t>
  </si>
  <si>
    <t xml:space="preserve">date</t>
  </si>
  <si>
    <t xml:space="preserve">Date de la session, une session = un jour.</t>
  </si>
  <si>
    <t xml:space="preserve">thématique</t>
  </si>
  <si>
    <t xml:space="preserve">Libellé court de la session, texte libre.</t>
  </si>
  <si>
    <t xml:space="preserve">formateur</t>
  </si>
  <si>
    <t xml:space="preserve">Nom du/des formateur(s). Plusieurs noms séparés par virgule en cas de co-animation.</t>
  </si>
  <si>
    <t xml:space="preserve">lien_support</t>
  </si>
  <si>
    <t xml:space="preserve">URL du support de session (Notion en général). Optionnel.</t>
  </si>
  <si>
    <t xml:space="preserve">Règle importante</t>
  </si>
  <si>
    <t xml:space="preserve">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</si>
  <si>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 xml:space="preserve">Cycle de vie des consultants (Référentiel)</t>
  </si>
  <si>
    <t xml:space="preserve">Règle absolue</t>
  </si>
  <si>
    <t xml:space="preserve">Ne jamais supprimer une ligne consultant. Quand un consultant part, remplir Date de sortie ; sa ligne reste en place dans Référentiel et dans toutes les matrices, ce qui préserve son historique.</t>
  </si>
  <si>
    <t xml:space="preserve">Arrivée</t>
  </si>
  <si>
    <t xml:space="preserve">Ajouter au Référentiel avec Date d'entrée. Ajouter une ligne consultant dans les matrices Saisie YYYY-MM (présent et à venir) et Formations_Participations.</t>
  </si>
  <si>
    <t xml:space="preserve">Départ</t>
  </si>
  <si>
    <t xml:space="preserve">Remplir Date de sortie dans le Référentiel. Ne pas toucher aux matrices.</t>
  </si>
  <si>
    <t xml:space="preserve">Saisie d'un formateur</t>
  </si>
  <si>
    <t xml:space="preserve">Onglet Formations</t>
  </si>
  <si>
    <t xml:space="preserve">Choisis le nom dans la liste déroulante de la colonne formateur. Pour co-animation, sépare plusieurs noms par une virgule.</t>
  </si>
  <si>
    <t xml:space="preserve">Matrice Formations_Participations</t>
  </si>
  <si>
    <t xml:space="preserve">Basculer le P du formateur en F à la colonne de la session concernée, pour que son animation soit comptée dans son total d'engagement.</t>
  </si>
  <si>
    <t xml:space="preserve">Module Feedback Formation</t>
  </si>
  <si>
    <t xml:space="preserve">Onglet Formation_Feedbacks</t>
  </si>
  <si>
    <t xml:space="preserve">Une ligne par réponse individuelle. Format long. L'id_session fait le lien avec l'onglet Formations. Pas de modération : chaque feedback est visible côté dashboard.</t>
  </si>
  <si>
    <t xml:space="preserve">Workflow d'import</t>
  </si>
  <si>
    <t xml:space="preserve">Après chaque session : exporter le CSV depuis Google Sheets lié au Form, renommer en feedback_F-YYYY-NNN.csv (id_session correspondant), déposer dans imports_feedbacks/, puis lancer python scripts/import_feedbacks.py. Le script est idempotent (re-runnable sans risque de doublons).</t>
  </si>
  <si>
    <t xml:space="preserve">Colonne Rôle (Référentiel)</t>
  </si>
  <si>
    <t xml:space="preserve">Valeurs possibles</t>
  </si>
  <si>
    <t xml:space="preserve">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</si>
  <si>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 xml:space="preserve">Aujourd'hui</t>
  </si>
  <si>
    <t xml:space="preserve">Une seule personne en 'interne' : Jérémie Kieffer (Lead PM).</t>
  </si>
  <si>
    <t xml:space="preserve">Référentiel des consultants</t>
  </si>
  <si>
    <t xml:space="preserve">Consultant</t>
  </si>
  <si>
    <t xml:space="preserve">Date d'entrée</t>
  </si>
  <si>
    <t xml:space="preserve">Date de sortie</t>
  </si>
  <si>
    <t xml:space="preserve">Rôle</t>
  </si>
  <si>
    <t xml:space="preserve">Alexandre Dieulesaint</t>
  </si>
  <si>
    <t xml:space="preserve">Amandine Ziegler</t>
  </si>
  <si>
    <t xml:space="preserve">Anthony Mocaer</t>
  </si>
  <si>
    <t xml:space="preserve">Anthéa Delpuech</t>
  </si>
  <si>
    <t xml:space="preserve">Axel Charletoux</t>
  </si>
  <si>
    <t xml:space="preserve">Barnabé Melaine</t>
  </si>
  <si>
    <t xml:space="preserve">Bertrand Mignot</t>
  </si>
  <si>
    <t xml:space="preserve">Calixte Bailly</t>
  </si>
  <si>
    <t xml:space="preserve">Caroline Hamoud</t>
  </si>
  <si>
    <t xml:space="preserve">Esther Mussot</t>
  </si>
  <si>
    <t xml:space="preserve">Eva Andrzejewski</t>
  </si>
  <si>
    <t xml:space="preserve">Florian Le Fur</t>
  </si>
  <si>
    <t xml:space="preserve">Florian Roudier</t>
  </si>
  <si>
    <t xml:space="preserve">François L'Hostis</t>
  </si>
  <si>
    <t xml:space="preserve">Félix Hantraye</t>
  </si>
  <si>
    <t xml:space="preserve">Geoffroy Debellabre</t>
  </si>
  <si>
    <t xml:space="preserve">Julien Calvao</t>
  </si>
  <si>
    <t xml:space="preserve">Laureline Berthou</t>
  </si>
  <si>
    <t xml:space="preserve">Mathieu Ultsch</t>
  </si>
  <si>
    <t xml:space="preserve">Matthieu Le Corre</t>
  </si>
  <si>
    <t xml:space="preserve">Nacim Souni</t>
  </si>
  <si>
    <t xml:space="preserve">Sandra Tang</t>
  </si>
  <si>
    <t xml:space="preserve">Simon Kerhyuel</t>
  </si>
  <si>
    <t xml:space="preserve">Théo Esposito</t>
  </si>
  <si>
    <t xml:space="preserve">Vincent Girard</t>
  </si>
  <si>
    <t xml:space="preserve">Zelal Aslan</t>
  </si>
  <si>
    <t xml:space="preserve">Anita Aladine</t>
  </si>
  <si>
    <t xml:space="preserve">Camille Chansigaud</t>
  </si>
  <si>
    <t xml:space="preserve">Emilien Rue</t>
  </si>
  <si>
    <t xml:space="preserve">Gaetan Le Bail</t>
  </si>
  <si>
    <t xml:space="preserve">Melchior R</t>
  </si>
  <si>
    <t xml:space="preserve">Nicolas Renard</t>
  </si>
  <si>
    <t xml:space="preserve">Jérémie Kieffer</t>
  </si>
  <si>
    <t xml:space="preserve">interne</t>
  </si>
  <si>
    <t xml:space="preserve">Agnes Bregeon</t>
  </si>
  <si>
    <t xml:space="preserve">Calendrier des événements collectifs</t>
  </si>
  <si>
    <t xml:space="preserve">Date</t>
  </si>
  <si>
    <t xml:space="preserve">Type</t>
  </si>
  <si>
    <t xml:space="preserve">Libellé / Détail</t>
  </si>
  <si>
    <t xml:space="preserve">XO Product Day</t>
  </si>
  <si>
    <t xml:space="preserve">XO Product Day février</t>
  </si>
  <si>
    <t xml:space="preserve">XO Day</t>
  </si>
  <si>
    <t xml:space="preserve">XO Day mars</t>
  </si>
  <si>
    <t xml:space="preserve">XO Day avril</t>
  </si>
  <si>
    <t xml:space="preserve">XO Product Day mai</t>
  </si>
  <si>
    <t xml:space="preserve">XO Day mai</t>
  </si>
  <si>
    <t xml:space="preserve">XO Product Day juin</t>
  </si>
  <si>
    <t xml:space="preserve">XO Day juin</t>
  </si>
  <si>
    <t xml:space="preserve">Saisie présence — Février 2026</t>
  </si>
  <si>
    <t xml:space="preserve">Total</t>
  </si>
  <si>
    <t xml:space="preserve">Statut OKR</t>
  </si>
  <si>
    <t xml:space="preserve">— Événements —</t>
  </si>
  <si>
    <t xml:space="preserve">Séminaire</t>
  </si>
  <si>
    <t xml:space="preserve">Saisie présence — Mars 2026</t>
  </si>
  <si>
    <t xml:space="preserve">Saisie présence — Avril 2026</t>
  </si>
  <si>
    <t xml:space="preserve">Saisie présence — Mai 2026</t>
  </si>
  <si>
    <t xml:space="preserve">Saisie présence — Juin 2026</t>
  </si>
  <si>
    <t xml:space="preserve">mu</t>
  </si>
  <si>
    <t xml:space="preserve">Saisie présence — Juillet 2026</t>
  </si>
  <si>
    <t xml:space="preserve">Catalogue des sessions de formation</t>
  </si>
  <si>
    <t xml:space="preserve">F-2025-001</t>
  </si>
  <si>
    <t xml:space="preserve">Delivery - Essentiel - La gestion du Backlog Produit ​</t>
  </si>
  <si>
    <t xml:space="preserve">F-2025-002</t>
  </si>
  <si>
    <t xml:space="preserve">Rattrapage - Delivery - Essentiel - La gestion du Backlog Produit</t>
  </si>
  <si>
    <t xml:space="preserve">F-2025-003</t>
  </si>
  <si>
    <t xml:space="preserve">Discovery - Essentiel - Comprendre la Discovery​</t>
  </si>
  <si>
    <t xml:space="preserve">F-2025-004</t>
  </si>
  <si>
    <t xml:space="preserve">Delivery - Essentiel - MVP &amp; User Story Mapping​</t>
  </si>
  <si>
    <t xml:space="preserve">F-2025-005</t>
  </si>
  <si>
    <t xml:space="preserve">Product Expert - Essentiel - Initiation aux API : Fondamentaux et usages​</t>
  </si>
  <si>
    <t xml:space="preserve">F-2025-006</t>
  </si>
  <si>
    <t xml:space="preserve">Discovery - Essentiel - Comprendre la Discovery ​  Les différents frameworks</t>
  </si>
  <si>
    <t xml:space="preserve">F-2025-007</t>
  </si>
  <si>
    <t xml:space="preserve">Discovery - Avancé - Identifier le bon problème et les bonnes cibles​</t>
  </si>
  <si>
    <t xml:space="preserve">F-2025-008</t>
  </si>
  <si>
    <t xml:space="preserve">Rattrapage - Avancé - Discovery - Identifier le bon problème et les bonnes cibles</t>
  </si>
  <si>
    <t xml:space="preserve">F-2025-009</t>
  </si>
  <si>
    <t xml:space="preserve">IA - Essentiel - Module 1 - Intégrer l'IA et les LLM dans sa pratique de Product Manager</t>
  </si>
  <si>
    <t xml:space="preserve">Matthieu Le Corre, Anthony Mocaer</t>
  </si>
  <si>
    <t xml:space="preserve">F-2026-001</t>
  </si>
  <si>
    <t xml:space="preserve">F-2026-002</t>
  </si>
  <si>
    <t xml:space="preserve">Discovery - Avancé - Les protocoles de recherche utilisateurs​</t>
  </si>
  <si>
    <t xml:space="preserve">F-2026-003</t>
  </si>
  <si>
    <t xml:space="preserve">F-2026-004</t>
  </si>
  <si>
    <t xml:space="preserve">IA - Essentiel - Module 2 - Clarifier les terminologies clés de l’IA &amp; optimiser sa pratique des LLM</t>
  </si>
  <si>
    <t xml:space="preserve">F-2026-005</t>
  </si>
  <si>
    <t xml:space="preserve">Tech for PM - Module #1 - Les fondations : Git &amp; Frontend</t>
  </si>
  <si>
    <t xml:space="preserve">F-2026-006</t>
  </si>
  <si>
    <t xml:space="preserve">Strategy - Construire et challenger une roadmap produit</t>
  </si>
  <si>
    <t xml:space="preserve">F-2026-007</t>
  </si>
  <si>
    <t xml:space="preserve">Rattrapage IA - Module #2 - Clarifier les terminologies clés de l'IA &amp; optimiser sa pratique des LLM</t>
  </si>
  <si>
    <t xml:space="preserve">F-2026-008</t>
  </si>
  <si>
    <t xml:space="preserve">Rattrapage Tech for PM - Module #1 - Les fondations : Git &amp; Frontend</t>
  </si>
  <si>
    <t xml:space="preserve">Théo Esposito, Calixte Bailly</t>
  </si>
  <si>
    <t xml:space="preserve">F-2026-009</t>
  </si>
  <si>
    <t xml:space="preserve">Tech for PM - Module #2 - Back end et API</t>
  </si>
  <si>
    <t xml:space="preserve">F-2026-010</t>
  </si>
  <si>
    <t xml:space="preserve">Tech For PM#3 - Data Model</t>
  </si>
  <si>
    <t xml:space="preserve">Théo Esposito, Geoffroy Debellabre</t>
  </si>
  <si>
    <t xml:space="preserve">F-2026-011</t>
  </si>
  <si>
    <t xml:space="preserve">IA - Maîtriser les Skills Claude</t>
  </si>
  <si>
    <t xml:space="preserve">Participations aux sessions de formation</t>
  </si>
  <si>
    <t xml:space="preserve">Log — format long (alimentation automatique)</t>
  </si>
  <si>
    <t xml:space="preserve">Ce tableau consolide automatiquement les données de tous les onglets de saisie au format long (1 ligne = 1 jour × 1 consultant × 1 statut). C'est ce tableau qui est exporté en CSV pour alimenter le dashboard.</t>
  </si>
  <si>
    <t xml:space="preserve">Important : ne pas saisir manuellement dans cet onglet. Toute saisie se fait dans les onglets "Saisie YYYY-MM".</t>
  </si>
  <si>
    <t xml:space="preserve">Année-Mois</t>
  </si>
  <si>
    <t xml:space="preserve">Jour semaine</t>
  </si>
  <si>
    <t xml:space="preserve">Statut</t>
  </si>
  <si>
    <t xml:space="preserve">Source</t>
  </si>
  <si>
    <t xml:space="preserve">Synthèse mensuelle — KPI agrégés</t>
  </si>
  <si>
    <t xml:space="preserve">Ces KPI sont calculés automatiquement depuis les onglets de saisie mensuelle.</t>
  </si>
  <si>
    <t xml:space="preserve">Mois</t>
  </si>
  <si>
    <t xml:space="preserve">Nb consultants</t>
  </si>
  <si>
    <t xml:space="preserve">Présences totales</t>
  </si>
  <si>
    <t xml:space="preserve">Atteinte OKR (%)</t>
  </si>
  <si>
    <t xml:space="preserve">Moyenne (j)</t>
  </si>
  <si>
    <t xml:space="preserve">Venus ≥1x</t>
  </si>
  <si>
    <t xml:space="preserve">Pic du mois</t>
  </si>
  <si>
    <t xml:space="preserve">Février 2026</t>
  </si>
  <si>
    <t xml:space="preserve">À calculer manuellement / via dashboard</t>
  </si>
  <si>
    <t xml:space="preserve">Mars 2026</t>
  </si>
  <si>
    <t xml:space="preserve">Avril 2026</t>
  </si>
  <si>
    <t xml:space="preserve">Mai 2026</t>
  </si>
  <si>
    <t xml:space="preserve">Juin 2026</t>
  </si>
  <si>
    <t xml:space="preserve">Moyenne T2</t>
  </si>
  <si>
    <t xml:space="preserve">Synthèse par consultant — vue trimestrielle</t>
  </si>
  <si>
    <t xml:space="preserve">Vue par consultant : présences et statut OKR par mois (févr.→juin), plus régularité sur la période.</t>
  </si>
  <si>
    <t xml:space="preserve">Févr. 2026</t>
  </si>
  <si>
    <t xml:space="preserve">Avr. 2026</t>
  </si>
  <si>
    <t xml:space="preserve">Mois ≥2j</t>
  </si>
  <si>
    <t xml:space="preserve">Régularité</t>
  </si>
  <si>
    <t xml:space="preserve">Feedbacks Formation</t>
  </si>
  <si>
    <t xml:space="preserve">Une ligne par réponse au Google Form de feedback. L'id_session lie chaque feedback à l'onglet Formations. Alimenté par scripts/import_feedbacks.py.</t>
  </si>
  <si>
    <t xml:space="preserve">id_response</t>
  </si>
  <si>
    <t xml:space="preserve">timestamp</t>
  </si>
  <si>
    <t xml:space="preserve">note_globale</t>
  </si>
  <si>
    <t xml:space="preserve">application</t>
  </si>
  <si>
    <t xml:space="preserve">verbatim_apprecie</t>
  </si>
  <si>
    <t xml:space="preserve">verbatim_amelioration</t>
  </si>
  <si>
    <t xml:space="preserve">verbatim_commentaire</t>
  </si>
  <si>
    <t xml:space="preserve">r-001</t>
  </si>
  <si>
    <t xml:space="preserve">Oui mais j'ai besoin de plus de pratique</t>
  </si>
  <si>
    <t xml:space="preserve">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</si>
  <si>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 xml:space="preserve">Incitation au débug en autonomie pour se préparer aux obstacles rencontrés quand le formateur n’est plus là 
Peut être étoffer le fil rouge, raconter une histoire, indiquer l’objectif de l’app et ce qui va justifier toutes les etapes</t>
  </si>
  <si>
    <t xml:space="preserve">Merci!</t>
  </si>
  <si>
    <t xml:space="preserve">r-002</t>
  </si>
  <si>
    <t xml:space="preserve">Non</t>
  </si>
  <si>
    <t xml:space="preserve">La continuité avec la session 1 de Théo</t>
  </si>
  <si>
    <t xml:space="preserve">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</si>
  <si>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 xml:space="preserve">Merci d'avoir été le meilleur binôme/stagiaire hihi &lt;3</t>
  </si>
  <si>
    <t xml:space="preserve">r-003</t>
  </si>
  <si>
    <t xml:space="preserve">Pas sûr</t>
  </si>
  <si>
    <t xml:space="preserve">Le format Théorique light et Pratique est bon. Même si je pense que pour le coups il y a eu très peu de théorie sur cette session.</t>
  </si>
  <si>
    <t xml:space="preserve">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</si>
  <si>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 xml:space="preserve">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</si>
  <si>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 xml:space="preserve">r-004</t>
  </si>
  <si>
    <t xml:space="preserve">Evidement la mise en pratique :)</t>
  </si>
  <si>
    <t xml:space="preserve">plus de temps mais cest pas facile, c'est déjà le soir ...</t>
  </si>
  <si>
    <t xml:space="preserve">&lt;3 &lt;3</t>
  </si>
  <si>
    <t xml:space="preserve">r-005</t>
  </si>
  <si>
    <t xml:space="preserve">Oui immédiatement</t>
  </si>
  <si>
    <t xml:space="preserve">La partie théorique, toujours très claire et bien construite. C'est aussi super motivant de continuer à développer nos compétences en vibe coding. Merci à Simon pour sa pédagogie et son enthousiasme !</t>
  </si>
  <si>
    <t xml:space="preserve">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</si>
  <si>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 xml:space="preserve">Très bonne initiative de nous faire monter en compétences sur le vibe coding, continuez comme ça ! Un grand merci à Simon et à toute l'équipe pour ce travail ! 
Julien</t>
  </si>
  <si>
    <t xml:space="preserve">r-006</t>
  </si>
  <si>
    <t xml:space="preserve">Use case débrouillardise illustrant bien et retour d’expérience PM</t>
  </si>
  <si>
    <t xml:space="preserve">Pas d’avis</t>
  </si>
  <si>
    <t xml:space="preserve">Merci!!!</t>
  </si>
  <si>
    <t xml:space="preserve">r-007</t>
  </si>
  <si>
    <t xml:space="preserve">les uses cases</t>
  </si>
  <si>
    <t xml:space="preserve">Le deuxième use case est perfectible</t>
  </si>
  <si>
    <t xml:space="preserve">r-008</t>
  </si>
  <si>
    <t xml:space="preserve">La sympathie du coach</t>
  </si>
  <si>
    <t xml:space="preserve">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</si>
  <si>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 xml:space="preserve">Merci pour cet atelier :)</t>
  </si>
  <si>
    <t xml:space="preserve">r-009</t>
  </si>
  <si>
    <t xml:space="preserve">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</si>
  <si>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 xml:space="preserve">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</si>
  <si>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 xml:space="preserve">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</si>
  <si>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 xml:space="preserve">r-010</t>
  </si>
  <si>
    <t xml:space="preserve">les exercices a la fin</t>
  </si>
  <si>
    <t xml:space="preserve">la correction des exercices en séance</t>
  </si>
  <si>
    <t xml:space="preserve">merci !</t>
  </si>
  <si>
    <t xml:space="preserve">r-011</t>
  </si>
  <si>
    <t xml:space="preserve">La partie pratique</t>
  </si>
  <si>
    <t xml:space="preserve">Dans la partie pratique, j'aurais bien aimé avoir plus d'explications de la part de Simon sur la méthodologie et une démo de comment il aurait fait après chaque étape.</t>
  </si>
  <si>
    <t xml:space="preserve">RAS</t>
  </si>
  <si>
    <t xml:space="preserve">r-012</t>
  </si>
  <si>
    <t xml:space="preserve">La mise en pratique avec Postman :)</t>
  </si>
  <si>
    <t xml:space="preserve">Un peu plus de temps sur le théorique selon le niveau de l'assistance :)</t>
  </si>
  <si>
    <t xml:space="preserve">r-013</t>
  </si>
  <si>
    <t xml:space="preserve">Pratique</t>
  </si>
  <si>
    <t xml:space="preserve">Plus de schémas logiques pour aider à la compréhension 
Plus de cas d’usage mission pour un PM</t>
  </si>
  <si>
    <t xml:space="preserve">Merci l’équipe formation 🫶🏻</t>
  </si>
  <si>
    <t xml:space="preserve">r-014</t>
  </si>
  <si>
    <t xml:space="preserve">La partie théorique était top et super rythmée (alors que c’est souvent le plus « long » pour ceux qui écoutent) moi c’est la partie que j’ai préféré pour une fois avec notamment le retour de Antho qui était super intéressant !!</t>
  </si>
  <si>
    <t xml:space="preserve">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</si>
  <si>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 xml:space="preserve">Il faudrait un suivi après ses formations par exemple qui a créé un agent IA depuis la formation dans son cadre mission ?
Proposer de bloquer un créneau de 30 min avec Antho ou Matt et repartir avec un agent IA adapté au besoin d’un consultant en mission?</t>
  </si>
  <si>
    <t xml:space="preserve">r-015</t>
  </si>
  <si>
    <t xml:space="preserve">Récupérer un assistant de prompt clé en main et pouvoir l'utiliser le jour-même.</t>
  </si>
  <si>
    <t xml:space="preserve">Comme il s'agit d'un atelier très concret et actionnable : il serait pertinent de poursuivre l'exercice avec les formateurs, de façon plus personnalisée selon les besoins spécifiques des consultants.</t>
  </si>
  <si>
    <t xml:space="preserve">Merci pour l'organisation de l'atelier :)</t>
  </si>
  <si>
    <t xml:space="preserve">r-016</t>
  </si>
  <si>
    <t xml:space="preserve">rappel des différences entre assistant agent et agent agentique / recadrage sur les bonnes pratiques de prompt</t>
  </si>
  <si>
    <t xml:space="preserve">sur l'exemple agent agentique vraiment insister sur le moment où le système est autonome. De manière très pratique à quelle moment le système fait des choses sans que j'ai besoin de le lancer pour qu'il les fasse</t>
  </si>
  <si>
    <t xml:space="preserve">coeur sur vous</t>
  </si>
  <si>
    <t xml:space="preserve">r-017</t>
  </si>
  <si>
    <t xml:space="preserve">La partie plus théorique, ça m'a permis de remettre les idées en place sur les RAG, assistants et agents</t>
  </si>
  <si>
    <t xml:space="preserve">Je pense qu'il faudrait des sessions plus longues mais pas facile le soir</t>
  </si>
  <si>
    <t xml:space="preserve">IXKO &lt;3</t>
  </si>
  <si>
    <t xml:space="preserve">r-018</t>
  </si>
  <si>
    <t xml:space="preserve">La partie pratique. Pouvoir manipuler les outils directement, ca permet de mieux se projeter dans l'utilisation quotidienne :)
Découvrir les différences entre assistant, agent, ia agentique</t>
  </si>
  <si>
    <t xml:space="preserve">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</si>
  <si>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 xml:space="preserve">bravo pour cette formation ! C'est une formation qui donne envie de creuser le sujet et d'expérimenter davantage</t>
  </si>
  <si>
    <t xml:space="preserve">r-019</t>
  </si>
  <si>
    <t xml:space="preserve">Pas trop de théorie, de la place pour la pratique &amp; les échanges</t>
  </si>
  <si>
    <t xml:space="preserve">Sur le fond et la forme pas de soucis
L'horaire de la formation peut etre à discuter car en fin de journée on est un peu crevés
On pourrait envisager un 13h/14h parfois ?</t>
  </si>
  <si>
    <t xml:space="preserve">merci pour l'orga !</t>
  </si>
  <si>
    <t xml:space="preserve">r-020</t>
  </si>
  <si>
    <t xml:space="preserve">j'ai aimé le retour d'expérience sur le cas concret de l'agent pour la discovery</t>
  </si>
  <si>
    <t xml:space="preserve">on aurait peut être pu faire un brainstorming pour des idées d'agents à créer, agents qui peuvent servir dans la vie quotidienne d'un PM =&gt; je trouve que ça peut nous donner des idées pour des futurs agents à créer</t>
  </si>
  <si>
    <t xml:space="preserve">Je me demande si on ne pourrait pas se faire une bibliothèque partagée avec des prompts pour des agents qui nous servent au quotidien ? Merci pour la session en tous les cas !</t>
  </si>
  <si>
    <t xml:space="preserve">r-021</t>
  </si>
  <si>
    <t xml:space="preserve">Les explications claires, l'accompagnement et l'enchainement des étapes présentées par Théo + la pratique bien évidemment.</t>
  </si>
  <si>
    <t xml:space="preserve">Attention au rythme, tout le monde ne va pas forcément à la même vitesse, ce qui ne facilite pas forcément la compréhension par moment.</t>
  </si>
  <si>
    <t xml:space="preserve">r-022</t>
  </si>
  <si>
    <t xml:space="preserve">La préparation et le cas pratique. Il y avait beaucoup de flexibilité pour répondre à un objectif simple. On avoisine quotidiennement ces notions et c'est bien d'enfin mettre le nez dedans</t>
  </si>
  <si>
    <t xml:space="preserve">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</si>
  <si>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 xml:space="preserve">Très hâte de la suite de ce parcours TechforPM</t>
  </si>
  <si>
    <t xml:space="preserve">r-023</t>
  </si>
  <si>
    <t xml:space="preserve">la mise en pratique = le fait de voir concrètement à quoi sert ce que nous manipulons</t>
  </si>
  <si>
    <t xml:space="preserve">plus de contexte sur les commandes à faire dans le terminal = à quoi correspond cd, nps ..., plus de détails sur l'arborescence du front que nous créons pour bien comprendre pour quoi on créé tel variable à tel endroit</t>
  </si>
  <si>
    <t xml:space="preserve">Merciiii</t>
  </si>
  <si>
    <t xml:space="preserve">r-024</t>
  </si>
  <si>
    <t xml:space="preserve">Le projet d'acculturation technique mise en place par IKXO.</t>
  </si>
  <si>
    <t xml:space="preserve">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</si>
  <si>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 xml:space="preserve">Merci quand même à Théo et Jérém pour l"organisation</t>
  </si>
  <si>
    <t xml:space="preserve">r-025</t>
  </si>
  <si>
    <t xml:space="preserve">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</si>
  <si>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 xml:space="preserve">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</si>
  <si>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 xml:space="preserve">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</si>
  <si>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 xml:space="preserve">r-026</t>
  </si>
  <si>
    <t xml:space="preserve">Qu’on puisse très rapidement, mettre en pratique et voir les résultats !</t>
  </si>
  <si>
    <t xml:space="preserve">La durée, 2h c’est assez court finalement pour se genre de travaux pratiques.
Mais le soir je me doutes bien que c’est pas facile</t>
  </si>
  <si>
    <t xml:space="preserve">Théo boss formateur ❤️🫰</t>
  </si>
  <si>
    <t xml:space="preserve">r-027</t>
  </si>
  <si>
    <t xml:space="preserve">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</si>
  <si>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 xml:space="preserve">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</si>
  <si>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 xml:space="preserve">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</si>
  <si>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 xml:space="preserve">r-028</t>
  </si>
  <si>
    <t xml:space="preserve">La pratique</t>
  </si>
  <si>
    <t xml:space="preserve">Pour ceux ayant des contraintes de PC dû au client cela n’a pas été optimal</t>
  </si>
  <si>
    <t xml:space="preserve">N/A</t>
  </si>
  <si>
    <t xml:space="preserve">r-029</t>
  </si>
  <si>
    <t xml:space="preserve">Tout, de la théorie à la pratique, c'était nickel</t>
  </si>
  <si>
    <t xml:space="preserve">Déjà envoyé en MP à l'intéressé ;)</t>
  </si>
  <si>
    <t xml:space="preserve">Vivement la prochaine</t>
  </si>
  <si>
    <t xml:space="preserve">r-030</t>
  </si>
  <si>
    <t xml:space="preserve">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</si>
  <si>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 xml:space="preserve">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</si>
  <si>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 xml:space="preserve">Bravo et merci pour la formation ! c’était clair et utile. C’est toujours un plaisir d’y participer, on ressort avec des choses concrètes et directement réutilisables en mission.
Julien</t>
  </si>
  <si>
    <t xml:space="preserve">r-031</t>
  </si>
  <si>
    <t xml:space="preserve">Le cas pratique !!</t>
  </si>
  <si>
    <t xml:space="preserve">Au top :)</t>
  </si>
  <si>
    <t xml:space="preserve">r-032</t>
  </si>
  <si>
    <t xml:space="preserve">Mise en pratique</t>
  </si>
  <si>
    <t xml:space="preserve">Time management</t>
  </si>
  <si>
    <t xml:space="preserve">merci beaucoup !</t>
  </si>
  <si>
    <t xml:space="preserve">r-033</t>
  </si>
  <si>
    <t xml:space="preserve">Le cas d'usage</t>
  </si>
  <si>
    <t xml:space="preserve">Expliciter les éléments à prendre en compte pour la construction de la roadmap ( pourcentage d'innovation etc) , dire en fonction de l'Organisation si telle ou telle roadmap est plus adaptée, donner des REX de consultants en mission</t>
  </si>
  <si>
    <t xml:space="preserve">Mercii</t>
  </si>
  <si>
    <t xml:space="preserve">r-034</t>
  </si>
  <si>
    <t xml:space="preserve">Le mix connaissance/application, ainsi que la qualité des informations données</t>
  </si>
  <si>
    <t xml:space="preserve">un peu plus d'exemples concrets même s'il y en avait déjà</t>
  </si>
  <si>
    <t xml:space="preserve">J'ai beaucoup apprécié la session ! Merci encore</t>
  </si>
  <si>
    <t xml:space="preserve">r-035</t>
  </si>
  <si>
    <t xml:space="preserve">Les exemples concrets</t>
  </si>
  <si>
    <t xml:space="preserve">Avoir plus de temps pour la pratique</t>
  </si>
  <si>
    <t xml:space="preserve">/</t>
  </si>
  <si>
    <t xml:space="preserve">r-036</t>
  </si>
  <si>
    <t xml:space="preserve">La reprise des bases mais surtout que ce soit applicable/transférable à la mission</t>
  </si>
  <si>
    <t xml:space="preserve">une assiette de cookies tout chaud ce serait du luxe mais sinon j'ai trouvé ça top !</t>
  </si>
  <si>
    <t xml:space="preserve">c'était ni trop léger, ni trop chargé. Au top pour tout assimiler. Je pense que tu as surestimé le temps pour l'exercice, les points qu'on a fait étaient suffisants pour bien maitriser la notion</t>
  </si>
  <si>
    <t xml:space="preserve">r-037</t>
  </si>
  <si>
    <t xml:space="preserve">Anthony est bon pour garder notre attention je trouve :)</t>
  </si>
  <si>
    <t xml:space="preserve">Plus de pratique (mais en même temps on voulais tous terminer à 19h donc compliqué … à la limite commencer un peu plus tôt)</t>
  </si>
  <si>
    <t xml:space="preserve">r-038</t>
  </si>
  <si>
    <t xml:space="preserve">Bonne animation d'Antho, un mix formation et discussion informelle appuyée par des exemples concrets en mission</t>
  </si>
  <si>
    <t xml:space="preserve">Si je veux vraiment être tatillon, avoir un jeu de données prêt à l'emploi (et peut être dire concrètement lequel utilise et comment l'utiliser)</t>
  </si>
  <si>
    <t xml:space="preserve">Super formation, 1H sharp, pas trop lourd et pas inutile. Merci à Antho ! (et Matt même si il est en trian de chasser les fantômes en Ecosse)</t>
  </si>
  <si>
    <t xml:space="preserve">r-039</t>
  </si>
  <si>
    <t xml:space="preserve">Partie pratique</t>
  </si>
  <si>
    <t xml:space="preserve">Aucun, c'était synthétique &amp; efficace</t>
  </si>
  <si>
    <t xml:space="preserve">-</t>
  </si>
  <si>
    <t xml:space="preserve">r-040</t>
  </si>
  <si>
    <t xml:space="preserve">Faire sur le midi plutôt que le soir, car on s’entait que tout le monde avait envie de rentrer chez soi.</t>
  </si>
  <si>
    <t xml:space="preserve">Merci 🙏</t>
  </si>
  <si>
    <t xml:space="preserve">r-041</t>
  </si>
  <si>
    <t xml:space="preserve">La mise en pratique immédiate</t>
  </si>
  <si>
    <t xml:space="preserve">La présentation des slides était un peu brouillon. Certaines slides répétaient la précédente. Ca ne m’a pas dérangé car nous sommes entre nous mais il faut bien trouver un axe.</t>
  </si>
  <si>
    <t xml:space="preserve">Très content de cette première formation chez XO. J’ai eu l’impression que ça a duré 5 minutes.</t>
  </si>
  <si>
    <t xml:space="preserve">r-042</t>
  </si>
  <si>
    <t xml:space="preserve">Le cas pratique</t>
  </si>
  <si>
    <t xml:space="preserve">Cas pratique plus poussé avec un cas mission</t>
  </si>
  <si>
    <t xml:space="preserve">All good !</t>
  </si>
  <si>
    <t xml:space="preserve">r-043</t>
  </si>
  <si>
    <t xml:space="preserve">ça nous permet d'appréhender la manière dont travaillent les techs + les complexités associées</t>
  </si>
  <si>
    <t xml:space="preserve">Il faut peut etre envisager de faire des groupes de niveaux et adapter le scope en fonction
Certaines personnes déjà à l'aise avec ces outils avaient largement fini et d'autres comme moi on mis au moins 2H/2H15</t>
  </si>
  <si>
    <t xml:space="preserve">sujet super intéréssant</t>
  </si>
  <si>
    <t xml:space="preserve">r-044</t>
  </si>
  <si>
    <t xml:space="preserve">La pratique 💜</t>
  </si>
  <si>
    <t xml:space="preserve">Bah les formations techniques demandent plus de temps donc dans l’idéal on aurait du commencer à 17h pour bien avoir le temps de tout faire</t>
  </si>
  <si>
    <t xml:space="preserve">Commencer les formation lus tôt 17h 😆</t>
  </si>
  <si>
    <t xml:space="preserve">r-045</t>
  </si>
  <si>
    <t xml:space="preserve">deep into tech. mieux comprendre le quotidien de mes devs</t>
  </si>
  <si>
    <t xml:space="preserve">timing de la session. il faut plus de temps</t>
  </si>
  <si>
    <t xml:space="preserve">non</t>
  </si>
  <si>
    <t xml:space="preserve">r-046</t>
  </si>
  <si>
    <t xml:space="preserve">La disponibilité des formateurs, l'ambiance de travail et la découverte du sujet</t>
  </si>
  <si>
    <t xml:space="preserve">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</si>
  <si>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 xml:space="preserve">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</si>
  <si>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 xml:space="preserve">r-047</t>
  </si>
  <si>
    <t xml:space="preserve">L’aide de Théo lors d’un blocage</t>
  </si>
  <si>
    <t xml:space="preserve">Expliquer pourquoi on utilise cette commande. J’ai suivi le guide mais sans comprendre pourquoi il fallait faire les actions.</t>
  </si>
</sst>
</file>

<file path=xl/styles.xml><?xml version="1.0" encoding="utf-8"?>
<styleSheet xmlns="http://schemas.openxmlformats.org/spreadsheetml/2006/main">
  <numFmts count="5">
    <numFmt numFmtId="164" formatCode="General"/>
    <numFmt numFmtId="165" formatCode="m/d/yyyy"/>
    <numFmt numFmtId="166" formatCode="[$-40C]ddd\ dd"/>
    <numFmt numFmtId="167" formatCode="General"/>
    <numFmt numFmtId="168" formatCode="m/d/yyyy\ h:mm"/>
  </numFmts>
  <fonts count="1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b val="true"/>
      <sz val="11"/>
      <name val="Cambria"/>
      <family val="1"/>
      <charset val="1"/>
    </font>
    <font>
      <b val="true"/>
      <sz val="14"/>
      <name val="Inter"/>
      <family val="0"/>
      <charset val="1"/>
    </font>
    <font>
      <b val="true"/>
      <sz val="12"/>
      <name val="Inter"/>
      <family val="0"/>
      <charset val="1"/>
    </font>
    <font>
      <sz val="11"/>
      <name val="Inter"/>
      <family val="0"/>
      <charset val="1"/>
    </font>
    <font>
      <b val="true"/>
      <sz val="12"/>
      <color rgb="FF6B7280"/>
      <name val="Inter"/>
      <family val="0"/>
      <charset val="1"/>
    </font>
    <font>
      <sz val="11"/>
      <color rgb="FF9CA3AF"/>
      <name val="Inter"/>
      <family val="0"/>
      <charset val="1"/>
    </font>
    <font>
      <b val="true"/>
      <sz val="14"/>
      <color rgb="FF0C3867"/>
      <name val="Cambria"/>
      <family val="1"/>
      <charset val="1"/>
    </font>
    <font>
      <i val="true"/>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8">
    <border diagonalUp="false" diagonalDown="false">
      <left/>
      <right/>
      <top/>
      <bottom/>
      <diagonal/>
    </border>
    <border diagonalUp="false" diagonalDown="false">
      <left/>
      <right/>
      <top/>
      <bottom style="thin">
        <color rgb="FFD1D5DB"/>
      </bottom>
      <diagonal/>
    </border>
    <border diagonalUp="false" diagonalDown="false">
      <left style="medium">
        <color rgb="FF9CA3AF"/>
      </left>
      <right/>
      <top/>
      <bottom style="thin">
        <color rgb="FFD1D5DB"/>
      </bottom>
      <diagonal/>
    </border>
    <border diagonalUp="false" diagonalDown="false">
      <left style="medium">
        <color rgb="FF9CA3AF"/>
      </left>
      <right/>
      <top/>
      <bottom/>
      <diagonal/>
    </border>
    <border diagonalUp="false" diagonalDown="false">
      <left/>
      <right/>
      <top/>
      <bottom style="thin"/>
      <diagonal/>
    </border>
    <border diagonalUp="false" diagonalDown="false">
      <left style="medium"/>
      <right/>
      <top/>
      <bottom style="thin"/>
      <diagonal/>
    </border>
    <border diagonalUp="false" diagonalDown="false">
      <left style="medium"/>
      <right/>
      <top/>
      <bottom/>
      <diagonal/>
    </border>
    <border diagonalUp="false" diagonalDown="false">
      <left/>
      <right/>
      <top style="thin">
        <color rgb="FFD5D5D5"/>
      </top>
      <bottom style="thin">
        <color rgb="FFD5D5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center" textRotation="0" wrapText="false" indent="0" shrinkToFit="false"/>
      <protection locked="true" hidden="false"/>
    </xf>
    <xf numFmtId="166" fontId="7" fillId="2" borderId="1" xfId="0" applyFont="true" applyBorder="true" applyAlignment="true" applyProtection="false">
      <alignment horizontal="center" vertical="center" textRotation="0" wrapText="false" indent="0" shrinkToFit="false"/>
      <protection locked="true" hidden="false"/>
    </xf>
    <xf numFmtId="166" fontId="7" fillId="2" borderId="2" xfId="0" applyFont="true" applyBorder="tru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7" fontId="7" fillId="0" borderId="3"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8" fillId="4" borderId="3" xfId="0" applyFont="true" applyBorder="true" applyAlignment="true" applyProtection="false">
      <alignment horizontal="center" vertical="center" textRotation="0" wrapText="false" indent="0" shrinkToFit="false"/>
      <protection locked="true" hidden="false"/>
    </xf>
    <xf numFmtId="164" fontId="8" fillId="5" borderId="0" xfId="0" applyFont="true" applyBorder="false" applyAlignment="true" applyProtection="false">
      <alignment horizontal="center" vertical="center" textRotation="0" wrapText="false" indent="0" shrinkToFit="false"/>
      <protection locked="true" hidden="false"/>
    </xf>
    <xf numFmtId="164" fontId="8" fillId="5" borderId="3" xfId="0" applyFont="true" applyBorder="true" applyAlignment="true" applyProtection="false">
      <alignment horizontal="center" vertical="center" textRotation="0" wrapText="false" indent="0" shrinkToFit="false"/>
      <protection locked="true" hidden="false"/>
    </xf>
    <xf numFmtId="164" fontId="8" fillId="3" borderId="3"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6"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4" xfId="0" applyFont="true" applyBorder="true" applyAlignment="true" applyProtection="false">
      <alignment horizontal="left" vertical="center" textRotation="0" wrapText="false" indent="0" shrinkToFit="false"/>
      <protection locked="true" hidden="false"/>
    </xf>
    <xf numFmtId="166" fontId="7" fillId="2" borderId="4" xfId="0" applyFont="true" applyBorder="true" applyAlignment="true" applyProtection="false">
      <alignment horizontal="center" vertical="center" textRotation="0" wrapText="false" indent="0" shrinkToFit="false"/>
      <protection locked="true" hidden="false"/>
    </xf>
    <xf numFmtId="166" fontId="7" fillId="2" borderId="5" xfId="0" applyFont="true" applyBorder="true" applyAlignment="true" applyProtection="false">
      <alignment horizontal="center" vertical="center" textRotation="0" wrapText="false" indent="0" shrinkToFit="false"/>
      <protection locked="true" hidden="false"/>
    </xf>
    <xf numFmtId="164" fontId="7" fillId="2" borderId="5" xfId="0" applyFont="true" applyBorder="true" applyAlignment="true" applyProtection="false">
      <alignment horizontal="center" vertical="center" textRotation="0" wrapText="false" indent="0" shrinkToFit="false"/>
      <protection locked="true" hidden="false"/>
    </xf>
    <xf numFmtId="164" fontId="7" fillId="2" borderId="4" xfId="0" applyFont="true" applyBorder="true" applyAlignment="true" applyProtection="false">
      <alignment horizontal="center" vertical="center" textRotation="0" wrapText="false" indent="0" shrinkToFit="false"/>
      <protection locked="true" hidden="false"/>
    </xf>
    <xf numFmtId="164" fontId="8" fillId="0" borderId="6" xfId="0" applyFont="true" applyBorder="true" applyAlignment="true" applyProtection="false">
      <alignment horizontal="center" vertical="center" textRotation="0" wrapText="false" indent="0" shrinkToFit="false"/>
      <protection locked="true" hidden="false"/>
    </xf>
    <xf numFmtId="167" fontId="7" fillId="0" borderId="6"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5" fillId="7" borderId="7" xfId="0" applyFont="true" applyBorder="true" applyAlignment="true" applyProtection="false">
      <alignment horizontal="left" vertical="center"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0</v>
      </c>
    </row>
    <row r="3" customFormat="false" ht="15.75" hidden="false" customHeight="true" outlineLevel="0" collapsed="false">
      <c r="A3" s="1" t="s">
        <v>1</v>
      </c>
    </row>
    <row r="5" customFormat="false" ht="15.75" hidden="false" customHeight="true" outlineLevel="0" collapsed="false">
      <c r="A5" s="1" t="s">
        <v>2</v>
      </c>
    </row>
    <row r="6" customFormat="false" ht="15.75" hidden="false" customHeight="true" outlineLevel="0" collapsed="false">
      <c r="A6" s="1" t="s">
        <v>3</v>
      </c>
      <c r="B6" s="1" t="s">
        <v>4</v>
      </c>
      <c r="C6" s="1" t="s">
        <v>5</v>
      </c>
    </row>
    <row r="7" customFormat="false" ht="15.75" hidden="false" customHeight="true" outlineLevel="0" collapsed="false">
      <c r="A7" s="1" t="s">
        <v>6</v>
      </c>
      <c r="B7" s="1" t="s">
        <v>7</v>
      </c>
      <c r="C7" s="1" t="s">
        <v>8</v>
      </c>
    </row>
    <row r="8" customFormat="false" ht="15.75" hidden="false" customHeight="true" outlineLevel="0" collapsed="false">
      <c r="A8" s="1" t="s">
        <v>9</v>
      </c>
      <c r="B8" s="1" t="s">
        <v>10</v>
      </c>
      <c r="C8" s="1" t="s">
        <v>11</v>
      </c>
    </row>
    <row r="9" customFormat="false" ht="15.75" hidden="false" customHeight="true" outlineLevel="0" collapsed="false">
      <c r="A9" s="1" t="s">
        <v>12</v>
      </c>
      <c r="B9" s="1" t="s">
        <v>13</v>
      </c>
      <c r="C9" s="1" t="s">
        <v>14</v>
      </c>
    </row>
    <row r="10" customFormat="false" ht="15.75" hidden="false" customHeight="true" outlineLevel="0" collapsed="false">
      <c r="A10" s="1" t="s">
        <v>15</v>
      </c>
      <c r="B10" s="1" t="s">
        <v>16</v>
      </c>
      <c r="C10" s="1" t="s">
        <v>17</v>
      </c>
    </row>
    <row r="11" customFormat="false" ht="15.75" hidden="false" customHeight="true" outlineLevel="0" collapsed="false">
      <c r="A11" s="1" t="s">
        <v>18</v>
      </c>
      <c r="B11" s="1" t="s">
        <v>19</v>
      </c>
      <c r="C11" s="1" t="s">
        <v>20</v>
      </c>
    </row>
    <row r="13" customFormat="false" ht="15.75" hidden="false" customHeight="true" outlineLevel="0" collapsed="false">
      <c r="A13" s="1" t="s">
        <v>21</v>
      </c>
    </row>
    <row r="14" customFormat="false" ht="15.75" hidden="false" customHeight="true" outlineLevel="0" collapsed="false">
      <c r="A14" s="1" t="s">
        <v>22</v>
      </c>
    </row>
    <row r="15" customFormat="false" ht="15.75" hidden="false" customHeight="true" outlineLevel="0" collapsed="false">
      <c r="A15" s="1" t="s">
        <v>23</v>
      </c>
    </row>
    <row r="16" customFormat="false" ht="15.75" hidden="false" customHeight="true" outlineLevel="0" collapsed="false">
      <c r="A16" s="1" t="s">
        <v>24</v>
      </c>
    </row>
    <row r="17" customFormat="false" ht="15.75" hidden="false" customHeight="true" outlineLevel="0" collapsed="false">
      <c r="A17" s="1" t="s">
        <v>25</v>
      </c>
    </row>
    <row r="18" customFormat="false" ht="15.75" hidden="false" customHeight="true" outlineLevel="0" collapsed="false">
      <c r="A18" s="1" t="s">
        <v>26</v>
      </c>
    </row>
    <row r="21" customFormat="false" ht="15.75" hidden="false" customHeight="true" outlineLevel="0" collapsed="false">
      <c r="A21" s="1" t="s">
        <v>27</v>
      </c>
    </row>
    <row r="22" customFormat="false" ht="15.75" hidden="false" customHeight="true" outlineLevel="0" collapsed="false">
      <c r="A22" s="1" t="s">
        <v>28</v>
      </c>
    </row>
    <row r="24" customFormat="false" ht="15" hidden="false" customHeight="true" outlineLevel="0" collapsed="false">
      <c r="A24" s="2" t="s">
        <v>29</v>
      </c>
    </row>
    <row r="25" customFormat="false" ht="15" hidden="false" customHeight="true" outlineLevel="0" collapsed="false">
      <c r="A25" s="2" t="s">
        <v>3</v>
      </c>
      <c r="B25" s="2" t="s">
        <v>4</v>
      </c>
      <c r="C25" s="2" t="s">
        <v>5</v>
      </c>
    </row>
    <row r="26" customFormat="false" ht="15" hidden="false" customHeight="true" outlineLevel="0" collapsed="false">
      <c r="A26" s="3" t="s">
        <v>30</v>
      </c>
      <c r="B26" s="3" t="s">
        <v>31</v>
      </c>
      <c r="C26" s="3" t="s">
        <v>32</v>
      </c>
    </row>
    <row r="27" customFormat="false" ht="15" hidden="false" customHeight="true" outlineLevel="0" collapsed="false">
      <c r="A27" s="3" t="s">
        <v>33</v>
      </c>
      <c r="B27" s="3" t="s">
        <v>34</v>
      </c>
      <c r="C27" s="3" t="s">
        <v>35</v>
      </c>
    </row>
    <row r="28" customFormat="false" ht="15" hidden="false" customHeight="true" outlineLevel="0" collapsed="false">
      <c r="A28" s="3" t="s">
        <v>12</v>
      </c>
      <c r="B28" s="3" t="s">
        <v>36</v>
      </c>
      <c r="C28" s="3" t="s">
        <v>37</v>
      </c>
    </row>
    <row r="30" customFormat="false" ht="15" hidden="false" customHeight="true" outlineLevel="0" collapsed="false">
      <c r="A30" s="2" t="s">
        <v>38</v>
      </c>
    </row>
    <row r="31" customFormat="false" ht="15" hidden="false" customHeight="true" outlineLevel="0" collapsed="false">
      <c r="A31" s="3" t="s">
        <v>39</v>
      </c>
      <c r="B31" s="3" t="s">
        <v>40</v>
      </c>
    </row>
    <row r="32" customFormat="false" ht="15" hidden="false" customHeight="true" outlineLevel="0" collapsed="false">
      <c r="A32" s="3" t="s">
        <v>41</v>
      </c>
      <c r="B32" s="3" t="s">
        <v>42</v>
      </c>
    </row>
    <row r="33" customFormat="false" ht="15" hidden="false" customHeight="true" outlineLevel="0" collapsed="false">
      <c r="A33" s="3" t="s">
        <v>43</v>
      </c>
      <c r="B33" s="3" t="s">
        <v>44</v>
      </c>
    </row>
    <row r="34" customFormat="false" ht="15" hidden="false" customHeight="true" outlineLevel="0" collapsed="false">
      <c r="A34" s="3" t="s">
        <v>45</v>
      </c>
      <c r="B34" s="3" t="s">
        <v>46</v>
      </c>
    </row>
    <row r="35" customFormat="false" ht="15" hidden="false" customHeight="true" outlineLevel="0" collapsed="false">
      <c r="A35" s="3" t="s">
        <v>47</v>
      </c>
      <c r="B35" s="3" t="s">
        <v>48</v>
      </c>
    </row>
    <row r="37" customFormat="false" ht="15" hidden="false" customHeight="true" outlineLevel="0" collapsed="false">
      <c r="A37" s="2" t="s">
        <v>49</v>
      </c>
    </row>
    <row r="38" customFormat="false" ht="30" hidden="false" customHeight="true" outlineLevel="0" collapsed="false">
      <c r="A38" s="4" t="s">
        <v>50</v>
      </c>
      <c r="B38" s="4"/>
      <c r="C38" s="4"/>
    </row>
    <row r="40" customFormat="false" ht="15" hidden="false" customHeight="true" outlineLevel="0" collapsed="false">
      <c r="A40" s="2" t="s">
        <v>51</v>
      </c>
    </row>
    <row r="41" customFormat="false" ht="45" hidden="false" customHeight="true" outlineLevel="0" collapsed="false">
      <c r="A41" s="3" t="s">
        <v>52</v>
      </c>
      <c r="B41" s="5" t="s">
        <v>53</v>
      </c>
    </row>
    <row r="42" customFormat="false" ht="30" hidden="false" customHeight="true" outlineLevel="0" collapsed="false">
      <c r="A42" s="3" t="s">
        <v>54</v>
      </c>
      <c r="B42" s="5" t="s">
        <v>55</v>
      </c>
    </row>
    <row r="43" customFormat="false" ht="19.5" hidden="false" customHeight="true" outlineLevel="0" collapsed="false">
      <c r="A43" s="3" t="s">
        <v>56</v>
      </c>
      <c r="B43" s="5" t="s">
        <v>57</v>
      </c>
    </row>
    <row r="45" customFormat="false" ht="15" hidden="false" customHeight="true" outlineLevel="0" collapsed="false">
      <c r="A45" s="2" t="s">
        <v>58</v>
      </c>
    </row>
    <row r="46" customFormat="false" ht="30" hidden="false" customHeight="true" outlineLevel="0" collapsed="false">
      <c r="A46" s="3" t="s">
        <v>59</v>
      </c>
      <c r="B46" s="5" t="s">
        <v>60</v>
      </c>
    </row>
    <row r="47" customFormat="false" ht="30" hidden="false" customHeight="true" outlineLevel="0" collapsed="false">
      <c r="A47" s="3" t="s">
        <v>61</v>
      </c>
      <c r="B47" s="5" t="s">
        <v>62</v>
      </c>
    </row>
    <row r="49" customFormat="false" ht="15" hidden="false" customHeight="true" outlineLevel="0" collapsed="false">
      <c r="A49" s="2" t="s">
        <v>63</v>
      </c>
    </row>
    <row r="50" customFormat="false" ht="39.75" hidden="false" customHeight="true" outlineLevel="0" collapsed="false">
      <c r="A50" s="3" t="s">
        <v>64</v>
      </c>
      <c r="B50" s="5" t="s">
        <v>65</v>
      </c>
    </row>
    <row r="51" customFormat="false" ht="60" hidden="false" customHeight="true" outlineLevel="0" collapsed="false">
      <c r="A51" s="3" t="s">
        <v>66</v>
      </c>
      <c r="B51" s="5" t="s">
        <v>67</v>
      </c>
    </row>
    <row r="53" customFormat="false" ht="15" hidden="false" customHeight="true" outlineLevel="0" collapsed="false">
      <c r="A53" s="2" t="s">
        <v>68</v>
      </c>
    </row>
    <row r="54" customFormat="false" ht="79.5" hidden="false" customHeight="true" outlineLevel="0" collapsed="false">
      <c r="A54" s="3" t="s">
        <v>69</v>
      </c>
      <c r="B54" s="5" t="s">
        <v>70</v>
      </c>
    </row>
    <row r="55" customFormat="false" ht="81.75" hidden="false" customHeight="true" outlineLevel="0" collapsed="false">
      <c r="A55" s="3" t="s">
        <v>71</v>
      </c>
      <c r="B55" s="5" t="s">
        <v>72</v>
      </c>
    </row>
  </sheetData>
  <mergeCells count="1">
    <mergeCell ref="A38:C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10.66796875" defaultRowHeight="15" zeroHeight="false" outlineLevelRow="0" outlineLevelCol="0"/>
  <cols>
    <col collapsed="false" customWidth="true" hidden="false" outlineLevel="0" max="4" min="4" style="3" width="14"/>
  </cols>
  <sheetData>
    <row r="1" customFormat="false" ht="15.75" hidden="false" customHeight="true" outlineLevel="0" collapsed="false">
      <c r="A1" s="1" t="s">
        <v>73</v>
      </c>
    </row>
    <row r="3" customFormat="false" ht="15.75" hidden="false" customHeight="true" outlineLevel="0" collapsed="false">
      <c r="A3" s="1" t="s">
        <v>74</v>
      </c>
      <c r="B3" s="1" t="s">
        <v>75</v>
      </c>
      <c r="C3" s="1" t="s">
        <v>76</v>
      </c>
      <c r="D3" s="1" t="s">
        <v>77</v>
      </c>
    </row>
    <row r="4" customFormat="false" ht="15.75" hidden="false" customHeight="true" outlineLevel="0" collapsed="false">
      <c r="A4" s="1" t="s">
        <v>78</v>
      </c>
      <c r="D4" s="6"/>
    </row>
    <row r="5" customFormat="false" ht="15.75" hidden="false" customHeight="true" outlineLevel="0" collapsed="false">
      <c r="A5" s="1" t="s">
        <v>79</v>
      </c>
      <c r="D5" s="6"/>
    </row>
    <row r="6" customFormat="false" ht="15.75" hidden="false" customHeight="true" outlineLevel="0" collapsed="false">
      <c r="A6" s="1" t="s">
        <v>80</v>
      </c>
      <c r="D6" s="6"/>
    </row>
    <row r="7" customFormat="false" ht="15.75" hidden="false" customHeight="true" outlineLevel="0" collapsed="false">
      <c r="A7" s="1" t="s">
        <v>81</v>
      </c>
      <c r="D7" s="6"/>
    </row>
    <row r="8" customFormat="false" ht="15.75" hidden="false" customHeight="true" outlineLevel="0" collapsed="false">
      <c r="A8" s="1" t="s">
        <v>82</v>
      </c>
      <c r="D8" s="6"/>
    </row>
    <row r="9" customFormat="false" ht="15.75" hidden="false" customHeight="true" outlineLevel="0" collapsed="false">
      <c r="A9" s="1" t="s">
        <v>83</v>
      </c>
      <c r="D9" s="6"/>
    </row>
    <row r="10" customFormat="false" ht="15.75" hidden="false" customHeight="true" outlineLevel="0" collapsed="false">
      <c r="A10" s="1" t="s">
        <v>84</v>
      </c>
      <c r="C10" s="7" t="n">
        <v>46178</v>
      </c>
      <c r="D10" s="6"/>
    </row>
    <row r="11" customFormat="false" ht="15.75" hidden="false" customHeight="true" outlineLevel="0" collapsed="false">
      <c r="A11" s="1" t="s">
        <v>85</v>
      </c>
      <c r="D11" s="6"/>
    </row>
    <row r="12" customFormat="false" ht="15.75" hidden="false" customHeight="true" outlineLevel="0" collapsed="false">
      <c r="A12" s="1" t="s">
        <v>86</v>
      </c>
      <c r="C12" s="7" t="n">
        <v>46218</v>
      </c>
      <c r="D12" s="6"/>
    </row>
    <row r="13" customFormat="false" ht="15.75" hidden="false" customHeight="true" outlineLevel="0" collapsed="false">
      <c r="A13" s="1" t="s">
        <v>87</v>
      </c>
      <c r="B13" s="8" t="n">
        <v>46082</v>
      </c>
      <c r="D13" s="6"/>
    </row>
    <row r="14" customFormat="false" ht="15.75" hidden="false" customHeight="true" outlineLevel="0" collapsed="false">
      <c r="A14" s="1" t="s">
        <v>88</v>
      </c>
      <c r="D14" s="6"/>
    </row>
    <row r="15" customFormat="false" ht="15.75" hidden="false" customHeight="true" outlineLevel="0" collapsed="false">
      <c r="A15" s="1" t="s">
        <v>89</v>
      </c>
      <c r="D15" s="6"/>
    </row>
    <row r="16" customFormat="false" ht="15.75" hidden="false" customHeight="true" outlineLevel="0" collapsed="false">
      <c r="A16" s="1" t="s">
        <v>90</v>
      </c>
      <c r="D16" s="6"/>
    </row>
    <row r="17" customFormat="false" ht="15.75" hidden="false" customHeight="true" outlineLevel="0" collapsed="false">
      <c r="A17" s="1" t="s">
        <v>91</v>
      </c>
      <c r="D17" s="6"/>
    </row>
    <row r="18" customFormat="false" ht="15.75" hidden="false" customHeight="true" outlineLevel="0" collapsed="false">
      <c r="A18" s="1" t="s">
        <v>92</v>
      </c>
      <c r="D18" s="6"/>
    </row>
    <row r="19" customFormat="false" ht="15.75" hidden="false" customHeight="true" outlineLevel="0" collapsed="false">
      <c r="A19" s="1" t="s">
        <v>93</v>
      </c>
      <c r="D19" s="6"/>
    </row>
    <row r="20" customFormat="false" ht="15.75" hidden="false" customHeight="true" outlineLevel="0" collapsed="false">
      <c r="A20" s="1" t="s">
        <v>94</v>
      </c>
      <c r="C20" s="7" t="n">
        <v>46218</v>
      </c>
      <c r="D20" s="6"/>
    </row>
    <row r="21" customFormat="false" ht="15.75" hidden="false" customHeight="true" outlineLevel="0" collapsed="false">
      <c r="A21" s="1" t="s">
        <v>95</v>
      </c>
      <c r="D21" s="6"/>
    </row>
    <row r="22" customFormat="false" ht="15.75" hidden="false" customHeight="true" outlineLevel="0" collapsed="false">
      <c r="A22" s="1" t="s">
        <v>96</v>
      </c>
      <c r="D22" s="6"/>
    </row>
    <row r="23" customFormat="false" ht="15.75" hidden="false" customHeight="true" outlineLevel="0" collapsed="false">
      <c r="A23" s="1" t="s">
        <v>97</v>
      </c>
      <c r="D23" s="6"/>
    </row>
    <row r="24" customFormat="false" ht="15.75" hidden="false" customHeight="true" outlineLevel="0" collapsed="false">
      <c r="A24" s="1" t="s">
        <v>98</v>
      </c>
      <c r="C24" s="7" t="n">
        <v>46203</v>
      </c>
      <c r="D24" s="6"/>
    </row>
    <row r="25" customFormat="false" ht="15.75" hidden="false" customHeight="true" outlineLevel="0" collapsed="false">
      <c r="A25" s="1" t="s">
        <v>99</v>
      </c>
      <c r="D25" s="6"/>
    </row>
    <row r="26" customFormat="false" ht="15.75" hidden="false" customHeight="true" outlineLevel="0" collapsed="false">
      <c r="A26" s="1" t="s">
        <v>100</v>
      </c>
      <c r="D26" s="6"/>
    </row>
    <row r="27" customFormat="false" ht="15.75" hidden="false" customHeight="true" outlineLevel="0" collapsed="false">
      <c r="A27" s="1" t="s">
        <v>101</v>
      </c>
      <c r="D27" s="6"/>
    </row>
    <row r="28" customFormat="false" ht="15.75" hidden="false" customHeight="true" outlineLevel="0" collapsed="false">
      <c r="A28" s="1" t="s">
        <v>102</v>
      </c>
      <c r="D28" s="6"/>
    </row>
    <row r="29" customFormat="false" ht="15.75" hidden="false" customHeight="true" outlineLevel="0" collapsed="false">
      <c r="A29" s="1" t="s">
        <v>103</v>
      </c>
      <c r="D29" s="6"/>
    </row>
    <row r="30" customFormat="false" ht="15" hidden="false" customHeight="true" outlineLevel="0" collapsed="false">
      <c r="A30" s="3" t="s">
        <v>104</v>
      </c>
      <c r="C30" s="7" t="n">
        <v>46053</v>
      </c>
      <c r="D30" s="6"/>
    </row>
    <row r="31" customFormat="false" ht="15" hidden="false" customHeight="true" outlineLevel="0" collapsed="false">
      <c r="A31" s="3" t="s">
        <v>105</v>
      </c>
      <c r="C31" s="7" t="n">
        <v>46022</v>
      </c>
      <c r="D31" s="6"/>
    </row>
    <row r="32" customFormat="false" ht="15" hidden="false" customHeight="true" outlineLevel="0" collapsed="false">
      <c r="A32" s="3" t="s">
        <v>106</v>
      </c>
      <c r="C32" s="7" t="n">
        <v>45777</v>
      </c>
      <c r="D32" s="6"/>
    </row>
    <row r="33" customFormat="false" ht="15" hidden="false" customHeight="true" outlineLevel="0" collapsed="false">
      <c r="A33" s="3" t="s">
        <v>107</v>
      </c>
      <c r="C33" s="7" t="n">
        <v>45747</v>
      </c>
      <c r="D33" s="6"/>
    </row>
    <row r="34" customFormat="false" ht="15" hidden="false" customHeight="true" outlineLevel="0" collapsed="false">
      <c r="A34" s="3" t="s">
        <v>108</v>
      </c>
      <c r="C34" s="7" t="n">
        <v>45930</v>
      </c>
      <c r="D34" s="6"/>
    </row>
    <row r="35" customFormat="false" ht="15" hidden="false" customHeight="true" outlineLevel="0" collapsed="false">
      <c r="A35" s="3" t="s">
        <v>109</v>
      </c>
      <c r="C35" s="7" t="n">
        <v>45960</v>
      </c>
      <c r="D35" s="6"/>
    </row>
    <row r="36" customFormat="false" ht="15" hidden="false" customHeight="true" outlineLevel="0" collapsed="false">
      <c r="A36" s="3" t="s">
        <v>110</v>
      </c>
      <c r="B36" s="7" t="n">
        <v>45078</v>
      </c>
      <c r="D36" s="6" t="s">
        <v>111</v>
      </c>
    </row>
    <row r="37" customFormat="false" ht="15" hidden="false" customHeight="true" outlineLevel="0" collapsed="false">
      <c r="A37" s="3" t="s">
        <v>112</v>
      </c>
      <c r="B37" s="7" t="n">
        <v>46174</v>
      </c>
      <c r="C37" s="7" t="n">
        <v>46218</v>
      </c>
      <c r="D37" s="6"/>
    </row>
    <row r="38" customFormat="false" ht="15" hidden="false" customHeight="true" outlineLevel="0" collapsed="false">
      <c r="D38" s="6"/>
    </row>
    <row r="39" customFormat="false" ht="15" hidden="false" customHeight="true" outlineLevel="0" collapsed="false">
      <c r="D39" s="6"/>
    </row>
    <row r="40" customFormat="false" ht="15" hidden="false" customHeight="true" outlineLevel="0" collapsed="false">
      <c r="D40" s="6"/>
    </row>
    <row r="41" customFormat="false" ht="15" hidden="false" customHeight="true" outlineLevel="0" collapsed="false">
      <c r="D41" s="6"/>
    </row>
    <row r="42" customFormat="false" ht="15" hidden="false" customHeight="true" outlineLevel="0" collapsed="false">
      <c r="D42" s="6"/>
    </row>
    <row r="43" customFormat="false" ht="15" hidden="false" customHeight="true" outlineLevel="0" collapsed="false">
      <c r="D43" s="6"/>
    </row>
    <row r="44" customFormat="false" ht="15" hidden="false" customHeight="true" outlineLevel="0" collapsed="false">
      <c r="D44" s="6"/>
    </row>
    <row r="45" customFormat="false" ht="15" hidden="false" customHeight="true" outlineLevel="0" collapsed="false">
      <c r="D45" s="6"/>
    </row>
    <row r="46" customFormat="false" ht="15" hidden="false" customHeight="true" outlineLevel="0" collapsed="false">
      <c r="D46" s="6"/>
    </row>
    <row r="47" customFormat="false" ht="15" hidden="false" customHeight="true" outlineLevel="0" collapsed="false">
      <c r="D47" s="6"/>
    </row>
    <row r="48" customFormat="false" ht="15" hidden="false" customHeight="true" outlineLevel="0" collapsed="false">
      <c r="D48" s="6"/>
    </row>
    <row r="49" customFormat="false" ht="15" hidden="false" customHeight="true" outlineLevel="0" collapsed="false">
      <c r="D49" s="6"/>
    </row>
    <row r="50" customFormat="false" ht="15" hidden="false" customHeight="true" outlineLevel="0" collapsed="false">
      <c r="D50" s="6"/>
    </row>
    <row r="51" customFormat="false" ht="15" hidden="false" customHeight="true" outlineLevel="0" collapsed="false">
      <c r="D51" s="6"/>
    </row>
    <row r="52" customFormat="false" ht="15" hidden="false" customHeight="true" outlineLevel="0" collapsed="false">
      <c r="D52" s="6"/>
    </row>
    <row r="53" customFormat="false" ht="15" hidden="false" customHeight="true" outlineLevel="0" collapsed="false">
      <c r="D53" s="6"/>
    </row>
    <row r="54" customFormat="false" ht="15" hidden="false" customHeight="true" outlineLevel="0" collapsed="false">
      <c r="D54" s="6"/>
    </row>
    <row r="55" customFormat="false" ht="15" hidden="false" customHeight="true" outlineLevel="0" collapsed="false">
      <c r="D55" s="6"/>
    </row>
    <row r="56" customFormat="false" ht="15" hidden="false" customHeight="true" outlineLevel="0" collapsed="false">
      <c r="D56" s="6"/>
    </row>
    <row r="57" customFormat="false" ht="15" hidden="false" customHeight="true" outlineLevel="0" collapsed="false">
      <c r="D57" s="6"/>
    </row>
    <row r="58" customFormat="false" ht="15" hidden="false" customHeight="true" outlineLevel="0" collapsed="false">
      <c r="D58" s="6"/>
    </row>
    <row r="59" customFormat="false" ht="15" hidden="false" customHeight="true" outlineLevel="0" collapsed="false">
      <c r="D59" s="6"/>
    </row>
    <row r="60" customFormat="false" ht="15" hidden="false" customHeight="true" outlineLevel="0" collapsed="false">
      <c r="D60" s="6"/>
    </row>
    <row r="61" customFormat="false" ht="15" hidden="false" customHeight="true" outlineLevel="0" collapsed="false">
      <c r="D61" s="6"/>
    </row>
    <row r="62" customFormat="false" ht="15" hidden="false" customHeight="true" outlineLevel="0" collapsed="false">
      <c r="D62" s="6"/>
    </row>
    <row r="63" customFormat="false" ht="15" hidden="false" customHeight="true" outlineLevel="0" collapsed="false">
      <c r="D63" s="6"/>
    </row>
    <row r="64" customFormat="false" ht="15" hidden="false" customHeight="true" outlineLevel="0" collapsed="false">
      <c r="D64" s="6"/>
    </row>
    <row r="65" customFormat="false" ht="15" hidden="false" customHeight="true" outlineLevel="0" collapsed="false">
      <c r="D65" s="6"/>
    </row>
    <row r="66" customFormat="false" ht="15" hidden="false" customHeight="true" outlineLevel="0" collapsed="false">
      <c r="D66" s="6"/>
    </row>
    <row r="67" customFormat="false" ht="15" hidden="false" customHeight="true" outlineLevel="0" collapsed="false">
      <c r="D67" s="6"/>
    </row>
    <row r="68" customFormat="false" ht="15" hidden="false" customHeight="true" outlineLevel="0" collapsed="false">
      <c r="D68" s="6"/>
    </row>
    <row r="69" customFormat="false" ht="15" hidden="false" customHeight="true" outlineLevel="0" collapsed="false">
      <c r="D69" s="6"/>
    </row>
    <row r="70" customFormat="false" ht="15" hidden="false" customHeight="true" outlineLevel="0" collapsed="false">
      <c r="D70" s="6"/>
    </row>
    <row r="71" customFormat="false" ht="15" hidden="false" customHeight="true" outlineLevel="0" collapsed="false">
      <c r="D71" s="6"/>
    </row>
    <row r="72" customFormat="false" ht="15" hidden="false" customHeight="true" outlineLevel="0" collapsed="false">
      <c r="D72" s="6"/>
    </row>
    <row r="73" customFormat="false" ht="15" hidden="false" customHeight="true" outlineLevel="0" collapsed="false">
      <c r="D73" s="6"/>
    </row>
    <row r="74" customFormat="false" ht="15" hidden="false" customHeight="true" outlineLevel="0" collapsed="false">
      <c r="D74" s="6"/>
    </row>
    <row r="75" customFormat="false" ht="15" hidden="false" customHeight="true" outlineLevel="0" collapsed="false">
      <c r="D75" s="6"/>
    </row>
    <row r="76" customFormat="false" ht="15" hidden="false" customHeight="true" outlineLevel="0" collapsed="false">
      <c r="D76" s="6"/>
    </row>
    <row r="77" customFormat="false" ht="15" hidden="false" customHeight="true" outlineLevel="0" collapsed="false">
      <c r="D77" s="6"/>
    </row>
    <row r="78" customFormat="false" ht="15" hidden="false" customHeight="true" outlineLevel="0" collapsed="false">
      <c r="D78" s="6"/>
    </row>
    <row r="79" customFormat="false" ht="15" hidden="false" customHeight="true" outlineLevel="0" collapsed="false">
      <c r="D79" s="6"/>
    </row>
    <row r="80" customFormat="false" ht="15" hidden="false" customHeight="true" outlineLevel="0" collapsed="false">
      <c r="D80" s="6"/>
    </row>
    <row r="81" customFormat="false" ht="15" hidden="false" customHeight="true" outlineLevel="0" collapsed="false">
      <c r="D81" s="6"/>
    </row>
    <row r="82" customFormat="false" ht="15" hidden="false" customHeight="true" outlineLevel="0" collapsed="false">
      <c r="D82" s="6"/>
    </row>
    <row r="83" customFormat="false" ht="15" hidden="false" customHeight="true" outlineLevel="0" collapsed="false">
      <c r="D83" s="6"/>
    </row>
    <row r="84" customFormat="false" ht="15" hidden="false" customHeight="true" outlineLevel="0" collapsed="false">
      <c r="D84" s="6"/>
    </row>
    <row r="85" customFormat="false" ht="15" hidden="false" customHeight="true" outlineLevel="0" collapsed="false">
      <c r="D85" s="6"/>
    </row>
    <row r="86" customFormat="false" ht="15" hidden="false" customHeight="true" outlineLevel="0" collapsed="false">
      <c r="D86" s="6"/>
    </row>
    <row r="87" customFormat="false" ht="15" hidden="false" customHeight="true" outlineLevel="0" collapsed="false">
      <c r="D87" s="6"/>
    </row>
    <row r="88" customFormat="false" ht="15" hidden="false" customHeight="true" outlineLevel="0" collapsed="false">
      <c r="D88" s="6"/>
    </row>
    <row r="89" customFormat="false" ht="15" hidden="false" customHeight="true" outlineLevel="0" collapsed="false">
      <c r="D89" s="6"/>
    </row>
    <row r="90" customFormat="false" ht="15" hidden="false" customHeight="true" outlineLevel="0" collapsed="false">
      <c r="D90" s="6"/>
    </row>
    <row r="91" customFormat="false" ht="15" hidden="false" customHeight="true" outlineLevel="0" collapsed="false">
      <c r="D91" s="6"/>
    </row>
    <row r="92" customFormat="false" ht="15" hidden="false" customHeight="true" outlineLevel="0" collapsed="false">
      <c r="D92" s="6"/>
    </row>
    <row r="93" customFormat="false" ht="15" hidden="false" customHeight="true" outlineLevel="0" collapsed="false">
      <c r="D93" s="6"/>
    </row>
    <row r="94" customFormat="false" ht="15" hidden="false" customHeight="true" outlineLevel="0" collapsed="false">
      <c r="D94" s="6"/>
    </row>
    <row r="95" customFormat="false" ht="15" hidden="false" customHeight="true" outlineLevel="0" collapsed="false">
      <c r="D95" s="6"/>
    </row>
    <row r="96" customFormat="false" ht="15" hidden="false" customHeight="true" outlineLevel="0" collapsed="false">
      <c r="D96" s="6"/>
    </row>
    <row r="97" customFormat="false" ht="15" hidden="false" customHeight="true" outlineLevel="0" collapsed="false">
      <c r="D97" s="6"/>
    </row>
    <row r="98" customFormat="false" ht="15" hidden="false" customHeight="true" outlineLevel="0" collapsed="false">
      <c r="D98" s="6"/>
    </row>
    <row r="99" customFormat="false" ht="15" hidden="false" customHeight="true" outlineLevel="0" collapsed="false">
      <c r="D99" s="6"/>
    </row>
    <row r="100" customFormat="false" ht="15" hidden="false" customHeight="true" outlineLevel="0" collapsed="false">
      <c r="D100" s="6"/>
    </row>
  </sheetData>
  <dataValidations count="1">
    <dataValidation allowBlank="true" errorStyle="stop" operator="between" showDropDown="false" showErrorMessage="false" showInputMessage="false" sqref="D4:D100" type="list">
      <formula1>"consultant,interne"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113</v>
      </c>
    </row>
    <row r="2" customFormat="false" ht="15" hidden="false" customHeight="true" outlineLevel="0" collapsed="false"/>
    <row r="3" customFormat="false" ht="15.75" hidden="false" customHeight="true" outlineLevel="0" collapsed="false">
      <c r="A3" s="1" t="s">
        <v>114</v>
      </c>
      <c r="B3" s="1" t="s">
        <v>115</v>
      </c>
      <c r="C3" s="1" t="s">
        <v>116</v>
      </c>
    </row>
    <row r="4" customFormat="false" ht="15.75" hidden="false" customHeight="true" outlineLevel="0" collapsed="false">
      <c r="A4" s="1" t="n">
        <v>46072</v>
      </c>
      <c r="B4" s="1" t="s">
        <v>117</v>
      </c>
      <c r="C4" s="1" t="s">
        <v>118</v>
      </c>
    </row>
    <row r="5" customFormat="false" ht="15.75" hidden="false" customHeight="true" outlineLevel="0" collapsed="false">
      <c r="A5" s="1" t="n">
        <v>46107</v>
      </c>
      <c r="B5" s="1" t="s">
        <v>119</v>
      </c>
      <c r="C5" s="1" t="s">
        <v>120</v>
      </c>
    </row>
    <row r="6" customFormat="false" ht="15.75" hidden="false" customHeight="true" outlineLevel="0" collapsed="false">
      <c r="A6" s="1" t="n">
        <v>46135</v>
      </c>
      <c r="B6" s="1" t="s">
        <v>119</v>
      </c>
      <c r="C6" s="1" t="s">
        <v>121</v>
      </c>
    </row>
    <row r="7" customFormat="false" ht="15" hidden="false" customHeight="true" outlineLevel="0" collapsed="false">
      <c r="A7" s="1" t="n">
        <v>46148</v>
      </c>
      <c r="B7" s="1" t="s">
        <v>117</v>
      </c>
      <c r="C7" s="1" t="s">
        <v>122</v>
      </c>
    </row>
    <row r="8" customFormat="false" ht="15" hidden="false" customHeight="true" outlineLevel="0" collapsed="false">
      <c r="A8" s="1" t="n">
        <v>46170</v>
      </c>
      <c r="B8" s="1" t="s">
        <v>119</v>
      </c>
      <c r="C8" s="1" t="s">
        <v>123</v>
      </c>
    </row>
    <row r="9" customFormat="false" ht="15" hidden="false" customHeight="true" outlineLevel="0" collapsed="false">
      <c r="A9" s="1" t="n">
        <v>46182</v>
      </c>
      <c r="B9" s="1" t="s">
        <v>117</v>
      </c>
      <c r="C9" s="1" t="s">
        <v>124</v>
      </c>
    </row>
    <row r="10" customFormat="false" ht="15" hidden="false" customHeight="true" outlineLevel="0" collapsed="false">
      <c r="A10" s="1" t="n">
        <v>46192</v>
      </c>
      <c r="B10" s="1" t="s">
        <v>119</v>
      </c>
      <c r="C10" s="1" t="s">
        <v>125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2" min="2" style="3" width="8"/>
    <col collapsed="false" customWidth="true" hidden="false" outlineLevel="0" max="23" min="23" style="3" width="18"/>
  </cols>
  <sheetData>
    <row r="1" customFormat="false" ht="21.75" hidden="false" customHeight="true" outlineLevel="0" collapsed="false">
      <c r="A1" s="9" t="s">
        <v>126</v>
      </c>
      <c r="B1" s="9"/>
      <c r="C1" s="9"/>
      <c r="D1" s="9"/>
      <c r="E1" s="9"/>
      <c r="F1" s="9"/>
      <c r="G1" s="9"/>
      <c r="H1" s="9"/>
      <c r="I1" s="9"/>
      <c r="J1" s="9"/>
      <c r="K1" s="9"/>
      <c r="L1" s="9"/>
      <c r="M1" s="9"/>
      <c r="N1" s="9"/>
      <c r="O1" s="9"/>
      <c r="P1" s="9"/>
      <c r="Q1" s="9"/>
      <c r="R1" s="9"/>
      <c r="S1" s="9"/>
      <c r="T1" s="9"/>
      <c r="U1" s="9"/>
      <c r="V1" s="9"/>
      <c r="W1" s="9"/>
    </row>
    <row r="3" customFormat="false" ht="21.75" hidden="false" customHeight="true" outlineLevel="0" collapsed="false">
      <c r="A3" s="10" t="s">
        <v>74</v>
      </c>
      <c r="B3" s="11" t="n">
        <v>46055</v>
      </c>
      <c r="C3" s="11" t="n">
        <v>46056</v>
      </c>
      <c r="D3" s="11" t="n">
        <v>46057</v>
      </c>
      <c r="E3" s="11" t="n">
        <v>46058</v>
      </c>
      <c r="F3" s="11" t="n">
        <v>46059</v>
      </c>
      <c r="G3" s="12" t="n">
        <v>46062</v>
      </c>
      <c r="H3" s="11" t="n">
        <v>46063</v>
      </c>
      <c r="I3" s="11" t="n">
        <v>46064</v>
      </c>
      <c r="J3" s="11" t="n">
        <v>46065</v>
      </c>
      <c r="K3" s="11" t="n">
        <v>46066</v>
      </c>
      <c r="L3" s="12" t="n">
        <v>46069</v>
      </c>
      <c r="M3" s="11" t="n">
        <v>46070</v>
      </c>
      <c r="N3" s="11" t="n">
        <v>46071</v>
      </c>
      <c r="O3" s="11" t="n">
        <v>46072</v>
      </c>
      <c r="P3" s="11" t="n">
        <v>46073</v>
      </c>
      <c r="Q3" s="12" t="n">
        <v>46076</v>
      </c>
      <c r="R3" s="11" t="n">
        <v>46077</v>
      </c>
      <c r="S3" s="11" t="n">
        <v>46078</v>
      </c>
      <c r="T3" s="11" t="n">
        <v>46079</v>
      </c>
      <c r="U3" s="11" t="n">
        <v>46080</v>
      </c>
      <c r="V3" s="13" t="s">
        <v>127</v>
      </c>
      <c r="W3" s="14" t="s">
        <v>128</v>
      </c>
    </row>
    <row r="4" customFormat="false" ht="18" hidden="false" customHeight="true" outlineLevel="0" collapsed="false">
      <c r="A4" s="15" t="s">
        <v>88</v>
      </c>
      <c r="B4" s="16"/>
      <c r="C4" s="16"/>
      <c r="D4" s="16"/>
      <c r="E4" s="16"/>
      <c r="F4" s="16"/>
      <c r="G4" s="17"/>
      <c r="H4" s="18" t="n">
        <v>1</v>
      </c>
      <c r="I4" s="16"/>
      <c r="J4" s="16"/>
      <c r="K4" s="16"/>
      <c r="L4" s="17"/>
      <c r="M4" s="16"/>
      <c r="N4" s="16"/>
      <c r="O4" s="18" t="n">
        <v>1</v>
      </c>
      <c r="P4" s="16"/>
      <c r="Q4" s="17"/>
      <c r="R4" s="18" t="n">
        <v>1</v>
      </c>
      <c r="S4" s="16"/>
      <c r="T4" s="16"/>
      <c r="U4" s="16"/>
      <c r="V4" s="19" t="n">
        <f aca="false">COUNTIF(B4:U4,1)+COUNTIF(B4:U4,"IC")</f>
        <v>3</v>
      </c>
      <c r="W4" s="16" t="str">
        <f aca="false">IF(COUNTIF(B4:U4,"M")&gt;0,"N/A absence longue",IF(V4&gt;=2,"Atteint","Sous objectif"))</f>
        <v>Atteint</v>
      </c>
    </row>
    <row r="5" customFormat="false" ht="18" hidden="false" customHeight="true" outlineLevel="0" collapsed="false">
      <c r="A5" s="15" t="s">
        <v>103</v>
      </c>
      <c r="B5" s="20" t="s">
        <v>15</v>
      </c>
      <c r="C5" s="20" t="s">
        <v>15</v>
      </c>
      <c r="D5" s="20" t="s">
        <v>15</v>
      </c>
      <c r="E5" s="20" t="s">
        <v>15</v>
      </c>
      <c r="F5" s="20" t="s">
        <v>15</v>
      </c>
      <c r="G5" s="21" t="s">
        <v>15</v>
      </c>
      <c r="H5" s="20" t="s">
        <v>15</v>
      </c>
      <c r="I5" s="20" t="s">
        <v>15</v>
      </c>
      <c r="J5" s="20" t="s">
        <v>15</v>
      </c>
      <c r="K5" s="20" t="s">
        <v>15</v>
      </c>
      <c r="L5" s="21" t="s">
        <v>15</v>
      </c>
      <c r="M5" s="20" t="s">
        <v>15</v>
      </c>
      <c r="N5" s="20" t="s">
        <v>15</v>
      </c>
      <c r="O5" s="20" t="s">
        <v>15</v>
      </c>
      <c r="P5" s="20" t="s">
        <v>15</v>
      </c>
      <c r="Q5" s="21" t="s">
        <v>15</v>
      </c>
      <c r="R5" s="20" t="s">
        <v>15</v>
      </c>
      <c r="S5" s="20" t="s">
        <v>15</v>
      </c>
      <c r="T5" s="20" t="s">
        <v>15</v>
      </c>
      <c r="U5" s="20" t="s">
        <v>15</v>
      </c>
      <c r="V5" s="19" t="n">
        <f aca="false">COUNTIF(B5:U5,1)+COUNTIF(B5:U5,"IC")</f>
        <v>0</v>
      </c>
      <c r="W5" s="16" t="str">
        <f aca="false">IF(COUNTIF(B5:U5,"M")&gt;0,"N/A absence longue",IF(V5&gt;=2,"Atteint","Sous objectif"))</f>
        <v>N/A absence longue</v>
      </c>
    </row>
    <row r="6" customFormat="false" ht="18" hidden="false" customHeight="true" outlineLevel="0" collapsed="false">
      <c r="A6" s="15" t="s">
        <v>85</v>
      </c>
      <c r="B6" s="16"/>
      <c r="C6" s="16"/>
      <c r="D6" s="16"/>
      <c r="E6" s="16"/>
      <c r="F6" s="16"/>
      <c r="G6" s="17"/>
      <c r="H6" s="16"/>
      <c r="I6" s="16"/>
      <c r="J6" s="16"/>
      <c r="K6" s="16"/>
      <c r="L6" s="17"/>
      <c r="M6" s="16"/>
      <c r="N6" s="16"/>
      <c r="O6" s="18" t="n">
        <v>1</v>
      </c>
      <c r="P6" s="16"/>
      <c r="Q6" s="17"/>
      <c r="R6" s="16"/>
      <c r="S6" s="16"/>
      <c r="T6" s="16"/>
      <c r="U6" s="16"/>
      <c r="V6" s="19" t="n">
        <f aca="false">COUNTIF(B6:U6,1)+COUNTIF(B6:U6,"IC")</f>
        <v>1</v>
      </c>
      <c r="W6" s="16" t="str">
        <f aca="false">IF(COUNTIF(B6:U6,"M")&gt;0,"N/A absence longue",IF(V6&gt;=2,"Atteint","Sous objectif"))</f>
        <v>Sous objectif</v>
      </c>
    </row>
    <row r="7" customFormat="false" ht="18" hidden="false" customHeight="true" outlineLevel="0" collapsed="false">
      <c r="A7" s="15" t="s">
        <v>95</v>
      </c>
      <c r="B7" s="16"/>
      <c r="C7" s="18" t="n">
        <v>1</v>
      </c>
      <c r="D7" s="16"/>
      <c r="E7" s="18" t="n">
        <v>1</v>
      </c>
      <c r="F7" s="16"/>
      <c r="G7" s="17"/>
      <c r="H7" s="16"/>
      <c r="I7" s="16"/>
      <c r="J7" s="18" t="n">
        <v>1</v>
      </c>
      <c r="K7" s="16"/>
      <c r="L7" s="17"/>
      <c r="M7" s="16"/>
      <c r="N7" s="16"/>
      <c r="O7" s="18" t="n">
        <v>1</v>
      </c>
      <c r="P7" s="16"/>
      <c r="Q7" s="17"/>
      <c r="R7" s="18" t="n">
        <v>1</v>
      </c>
      <c r="S7" s="16"/>
      <c r="T7" s="16"/>
      <c r="U7" s="16"/>
      <c r="V7" s="19" t="n">
        <f aca="false">COUNTIF(B7:U7,1)+COUNTIF(B7:U7,"IC")</f>
        <v>5</v>
      </c>
      <c r="W7" s="16" t="str">
        <f aca="false">IF(COUNTIF(B7:U7,"M")&gt;0,"N/A absence longue",IF(V7&gt;=2,"Atteint","Sous objectif"))</f>
        <v>Atteint</v>
      </c>
    </row>
    <row r="8" customFormat="false" ht="18" hidden="false" customHeight="true" outlineLevel="0" collapsed="false">
      <c r="A8" s="15" t="s">
        <v>94</v>
      </c>
      <c r="B8" s="22" t="s">
        <v>9</v>
      </c>
      <c r="C8" s="22" t="s">
        <v>9</v>
      </c>
      <c r="D8" s="16"/>
      <c r="E8" s="22" t="s">
        <v>9</v>
      </c>
      <c r="F8" s="16"/>
      <c r="G8" s="17"/>
      <c r="H8" s="22" t="s">
        <v>9</v>
      </c>
      <c r="I8" s="22" t="s">
        <v>9</v>
      </c>
      <c r="J8" s="22" t="s">
        <v>9</v>
      </c>
      <c r="K8" s="16"/>
      <c r="L8" s="23" t="s">
        <v>9</v>
      </c>
      <c r="M8" s="22" t="s">
        <v>9</v>
      </c>
      <c r="N8" s="16"/>
      <c r="O8" s="16"/>
      <c r="P8" s="16"/>
      <c r="Q8" s="23" t="s">
        <v>9</v>
      </c>
      <c r="R8" s="22" t="s">
        <v>9</v>
      </c>
      <c r="S8" s="16"/>
      <c r="T8" s="22" t="s">
        <v>9</v>
      </c>
      <c r="U8" s="16"/>
      <c r="V8" s="19" t="n">
        <f aca="false">COUNTIF(B8:U8,1)+COUNTIF(B8:U8,"IC")</f>
        <v>11</v>
      </c>
      <c r="W8" s="16" t="str">
        <f aca="false">IF(COUNTIF(B8:U8,"M")&gt;0,"N/A absence longue",IF(V8&gt;=2,"Atteint","Sous objectif"))</f>
        <v>Atteint</v>
      </c>
    </row>
    <row r="9" customFormat="false" ht="18" hidden="false" customHeight="true" outlineLevel="0" collapsed="false">
      <c r="A9" s="15" t="s">
        <v>82</v>
      </c>
      <c r="B9" s="16"/>
      <c r="C9" s="16"/>
      <c r="D9" s="16"/>
      <c r="E9" s="16"/>
      <c r="F9" s="16"/>
      <c r="G9" s="17"/>
      <c r="H9" s="16"/>
      <c r="I9" s="16"/>
      <c r="J9" s="16"/>
      <c r="K9" s="16"/>
      <c r="L9" s="17"/>
      <c r="M9" s="16"/>
      <c r="N9" s="16"/>
      <c r="O9" s="18" t="n">
        <v>1</v>
      </c>
      <c r="P9" s="16"/>
      <c r="Q9" s="17"/>
      <c r="R9" s="16"/>
      <c r="S9" s="16"/>
      <c r="T9" s="16"/>
      <c r="U9" s="16"/>
      <c r="V9" s="19" t="n">
        <f aca="false">COUNTIF(B9:U9,1)+COUNTIF(B9:U9,"IC")</f>
        <v>1</v>
      </c>
      <c r="W9" s="16" t="str">
        <f aca="false">IF(COUNTIF(B9:U9,"M")&gt;0,"N/A absence longue",IF(V9&gt;=2,"Atteint","Sous objectif"))</f>
        <v>Sous objectif</v>
      </c>
    </row>
    <row r="10" customFormat="false" ht="18" hidden="false" customHeight="true" outlineLevel="0" collapsed="false">
      <c r="A10" s="15" t="s">
        <v>97</v>
      </c>
      <c r="B10" s="16"/>
      <c r="C10" s="18" t="n">
        <v>1</v>
      </c>
      <c r="D10" s="16"/>
      <c r="E10" s="18" t="n">
        <v>1</v>
      </c>
      <c r="F10" s="16"/>
      <c r="G10" s="17"/>
      <c r="H10" s="18" t="n">
        <v>1</v>
      </c>
      <c r="I10" s="16"/>
      <c r="J10" s="18" t="n">
        <v>1</v>
      </c>
      <c r="K10" s="16"/>
      <c r="L10" s="17"/>
      <c r="M10" s="18" t="n">
        <v>1</v>
      </c>
      <c r="N10" s="16"/>
      <c r="O10" s="18" t="n">
        <v>1</v>
      </c>
      <c r="P10" s="16"/>
      <c r="Q10" s="17"/>
      <c r="R10" s="18" t="n">
        <v>1</v>
      </c>
      <c r="S10" s="16"/>
      <c r="T10" s="18" t="n">
        <v>1</v>
      </c>
      <c r="U10" s="16"/>
      <c r="V10" s="19" t="n">
        <f aca="false">COUNTIF(B10:U10,1)+COUNTIF(B10:U10,"IC")</f>
        <v>8</v>
      </c>
      <c r="W10" s="16" t="str">
        <f aca="false">IF(COUNTIF(B10:U10,"M")&gt;0,"N/A absence longue",IF(V10&gt;=2,"Atteint","Sous objectif"))</f>
        <v>Atteint</v>
      </c>
    </row>
    <row r="11" customFormat="false" ht="18" hidden="false" customHeight="true" outlineLevel="0" collapsed="false">
      <c r="A11" s="15" t="s">
        <v>93</v>
      </c>
      <c r="B11" s="16"/>
      <c r="C11" s="16"/>
      <c r="D11" s="16"/>
      <c r="E11" s="16"/>
      <c r="F11" s="16"/>
      <c r="G11" s="17"/>
      <c r="H11" s="16"/>
      <c r="I11" s="16"/>
      <c r="J11" s="16"/>
      <c r="K11" s="16"/>
      <c r="L11" s="17"/>
      <c r="M11" s="16"/>
      <c r="N11" s="16"/>
      <c r="O11" s="16"/>
      <c r="P11" s="16"/>
      <c r="Q11" s="17"/>
      <c r="R11" s="16"/>
      <c r="S11" s="16"/>
      <c r="T11" s="16"/>
      <c r="U11" s="16"/>
      <c r="V11" s="19" t="n">
        <f aca="false">COUNTIF(B11:U11,1)+COUNTIF(B11:U11,"IC")</f>
        <v>0</v>
      </c>
      <c r="W11" s="16" t="str">
        <f aca="false">IF(COUNTIF(B11:U11,"M")&gt;0,"N/A absence longue",IF(V11&gt;=2,"Atteint","Sous objectif"))</f>
        <v>Sous objectif</v>
      </c>
    </row>
    <row r="12" customFormat="false" ht="18" hidden="false" customHeight="true" outlineLevel="0" collapsed="false">
      <c r="A12" s="15" t="s">
        <v>81</v>
      </c>
      <c r="B12" s="18" t="n">
        <v>1</v>
      </c>
      <c r="C12" s="18" t="n">
        <v>1</v>
      </c>
      <c r="D12" s="16"/>
      <c r="E12" s="18" t="n">
        <v>1</v>
      </c>
      <c r="F12" s="16"/>
      <c r="G12" s="17"/>
      <c r="H12" s="16"/>
      <c r="I12" s="16"/>
      <c r="J12" s="16"/>
      <c r="K12" s="16"/>
      <c r="L12" s="17"/>
      <c r="M12" s="16"/>
      <c r="N12" s="16"/>
      <c r="O12" s="16"/>
      <c r="P12" s="16"/>
      <c r="Q12" s="17"/>
      <c r="R12" s="18" t="n">
        <v>1</v>
      </c>
      <c r="S12" s="16"/>
      <c r="T12" s="16"/>
      <c r="U12" s="16"/>
      <c r="V12" s="19" t="n">
        <f aca="false">COUNTIF(B12:U12,1)+COUNTIF(B12:U12,"IC")</f>
        <v>4</v>
      </c>
      <c r="W12" s="16" t="str">
        <f aca="false">IF(COUNTIF(B12:U12,"M")&gt;0,"N/A absence longue",IF(V12&gt;=2,"Atteint","Sous objectif"))</f>
        <v>Atteint</v>
      </c>
    </row>
    <row r="13" customFormat="false" ht="18" hidden="false" customHeight="true" outlineLevel="0" collapsed="false">
      <c r="A13" s="15" t="s">
        <v>78</v>
      </c>
      <c r="B13" s="16"/>
      <c r="C13" s="16"/>
      <c r="D13" s="16"/>
      <c r="E13" s="16"/>
      <c r="F13" s="16"/>
      <c r="G13" s="17"/>
      <c r="H13" s="16"/>
      <c r="I13" s="16"/>
      <c r="J13" s="16"/>
      <c r="K13" s="16"/>
      <c r="L13" s="17"/>
      <c r="M13" s="16"/>
      <c r="N13" s="16"/>
      <c r="O13" s="16"/>
      <c r="P13" s="16"/>
      <c r="Q13" s="17"/>
      <c r="R13" s="16"/>
      <c r="S13" s="16"/>
      <c r="T13" s="16"/>
      <c r="U13" s="16"/>
      <c r="V13" s="19" t="n">
        <f aca="false">COUNTIF(B13:U13,1)+COUNTIF(B13:U13,"IC")</f>
        <v>0</v>
      </c>
      <c r="W13" s="16" t="str">
        <f aca="false">IF(COUNTIF(B13:U13,"M")&gt;0,"N/A absence longue",IF(V13&gt;=2,"Atteint","Sous objectif"))</f>
        <v>Sous objectif</v>
      </c>
    </row>
    <row r="14" customFormat="false" ht="18" hidden="false" customHeight="true" outlineLevel="0" collapsed="false">
      <c r="A14" s="15" t="s">
        <v>101</v>
      </c>
      <c r="B14" s="16"/>
      <c r="C14" s="18" t="n">
        <v>1</v>
      </c>
      <c r="D14" s="16"/>
      <c r="E14" s="16"/>
      <c r="F14" s="16"/>
      <c r="G14" s="17"/>
      <c r="H14" s="18" t="n">
        <v>1</v>
      </c>
      <c r="I14" s="16"/>
      <c r="J14" s="16"/>
      <c r="K14" s="16"/>
      <c r="L14" s="17"/>
      <c r="M14" s="16"/>
      <c r="N14" s="16"/>
      <c r="O14" s="16"/>
      <c r="P14" s="16"/>
      <c r="Q14" s="17"/>
      <c r="R14" s="18" t="n">
        <v>1</v>
      </c>
      <c r="S14" s="16"/>
      <c r="T14" s="16"/>
      <c r="U14" s="16"/>
      <c r="V14" s="19" t="n">
        <f aca="false">COUNTIF(B14:U14,1)+COUNTIF(B14:U14,"IC")</f>
        <v>3</v>
      </c>
      <c r="W14" s="16" t="str">
        <f aca="false">IF(COUNTIF(B14:U14,"M")&gt;0,"N/A absence longue",IF(V14&gt;=2,"Atteint","Sous objectif"))</f>
        <v>Atteint</v>
      </c>
    </row>
    <row r="15" customFormat="false" ht="18" hidden="false" customHeight="true" outlineLevel="0" collapsed="false">
      <c r="A15" s="15" t="s">
        <v>89</v>
      </c>
      <c r="B15" s="16"/>
      <c r="C15" s="16"/>
      <c r="D15" s="16"/>
      <c r="E15" s="16"/>
      <c r="F15" s="16"/>
      <c r="G15" s="17"/>
      <c r="H15" s="18" t="n">
        <v>1</v>
      </c>
      <c r="I15" s="16"/>
      <c r="J15" s="16"/>
      <c r="K15" s="16"/>
      <c r="L15" s="17"/>
      <c r="M15" s="16"/>
      <c r="N15" s="16"/>
      <c r="O15" s="18" t="n">
        <v>1</v>
      </c>
      <c r="P15" s="16"/>
      <c r="Q15" s="17"/>
      <c r="R15" s="16"/>
      <c r="S15" s="16"/>
      <c r="T15" s="16"/>
      <c r="U15" s="16"/>
      <c r="V15" s="19" t="n">
        <f aca="false">COUNTIF(B15:U15,1)+COUNTIF(B15:U15,"IC")</f>
        <v>2</v>
      </c>
      <c r="W15" s="16" t="str">
        <f aca="false">IF(COUNTIF(B15:U15,"M")&gt;0,"N/A absence longue",IF(V15&gt;=2,"Atteint","Sous objectif"))</f>
        <v>Atteint</v>
      </c>
    </row>
    <row r="16" customFormat="false" ht="18" hidden="false" customHeight="true" outlineLevel="0" collapsed="false">
      <c r="A16" s="15" t="s">
        <v>102</v>
      </c>
      <c r="B16" s="16"/>
      <c r="C16" s="16"/>
      <c r="D16" s="16"/>
      <c r="E16" s="16"/>
      <c r="F16" s="16"/>
      <c r="G16" s="17"/>
      <c r="H16" s="18" t="n">
        <v>1</v>
      </c>
      <c r="I16" s="16"/>
      <c r="J16" s="16"/>
      <c r="K16" s="16"/>
      <c r="L16" s="17"/>
      <c r="M16" s="16"/>
      <c r="N16" s="16"/>
      <c r="O16" s="18" t="n">
        <v>1</v>
      </c>
      <c r="P16" s="16"/>
      <c r="Q16" s="17"/>
      <c r="R16" s="18" t="n">
        <v>1</v>
      </c>
      <c r="S16" s="16"/>
      <c r="T16" s="16"/>
      <c r="U16" s="16"/>
      <c r="V16" s="19" t="n">
        <f aca="false">COUNTIF(B16:U16,1)+COUNTIF(B16:U16,"IC")</f>
        <v>3</v>
      </c>
      <c r="W16" s="16" t="str">
        <f aca="false">IF(COUNTIF(B16:U16,"M")&gt;0,"N/A absence longue",IF(V16&gt;=2,"Atteint","Sous objectif"))</f>
        <v>Atteint</v>
      </c>
    </row>
    <row r="17" customFormat="false" ht="18" hidden="false" customHeight="true" outlineLevel="0" collapsed="false">
      <c r="A17" s="15" t="s">
        <v>86</v>
      </c>
      <c r="B17" s="16"/>
      <c r="C17" s="16"/>
      <c r="D17" s="16"/>
      <c r="E17" s="16"/>
      <c r="F17" s="16"/>
      <c r="G17" s="17"/>
      <c r="H17" s="16"/>
      <c r="I17" s="16"/>
      <c r="J17" s="16"/>
      <c r="K17" s="16"/>
      <c r="L17" s="17"/>
      <c r="M17" s="16"/>
      <c r="N17" s="16"/>
      <c r="O17" s="16"/>
      <c r="P17" s="16"/>
      <c r="Q17" s="17"/>
      <c r="R17" s="16"/>
      <c r="S17" s="16"/>
      <c r="T17" s="16"/>
      <c r="U17" s="16"/>
      <c r="V17" s="19" t="n">
        <f aca="false">COUNTIF(B17:U17,1)+COUNTIF(B17:U17,"IC")</f>
        <v>0</v>
      </c>
      <c r="W17" s="16" t="str">
        <f aca="false">IF(COUNTIF(B17:U17,"M")&gt;0,"N/A absence longue",IF(V17&gt;=2,"Atteint","Sous objectif"))</f>
        <v>Sous objectif</v>
      </c>
    </row>
    <row r="18" customFormat="false" ht="18" hidden="false" customHeight="true" outlineLevel="0" collapsed="false">
      <c r="A18" s="15" t="s">
        <v>92</v>
      </c>
      <c r="B18" s="16"/>
      <c r="C18" s="16"/>
      <c r="D18" s="16"/>
      <c r="E18" s="16"/>
      <c r="F18" s="16"/>
      <c r="G18" s="17"/>
      <c r="H18" s="18" t="n">
        <v>1</v>
      </c>
      <c r="I18" s="16"/>
      <c r="J18" s="16"/>
      <c r="K18" s="16"/>
      <c r="L18" s="17"/>
      <c r="M18" s="18" t="n">
        <v>1</v>
      </c>
      <c r="N18" s="16"/>
      <c r="O18" s="18" t="n">
        <v>1</v>
      </c>
      <c r="P18" s="16"/>
      <c r="Q18" s="17"/>
      <c r="R18" s="16"/>
      <c r="S18" s="16"/>
      <c r="T18" s="16"/>
      <c r="U18" s="16"/>
      <c r="V18" s="19" t="n">
        <f aca="false">COUNTIF(B18:U18,1)+COUNTIF(B18:U18,"IC")</f>
        <v>3</v>
      </c>
      <c r="W18" s="16" t="str">
        <f aca="false">IF(COUNTIF(B18:U18,"M")&gt;0,"N/A absence longue",IF(V18&gt;=2,"Atteint","Sous objectif"))</f>
        <v>Atteint</v>
      </c>
    </row>
    <row r="19" customFormat="false" ht="18" hidden="false" customHeight="true" outlineLevel="0" collapsed="false">
      <c r="A19" s="15" t="s">
        <v>100</v>
      </c>
      <c r="B19" s="16"/>
      <c r="C19" s="16"/>
      <c r="D19" s="16"/>
      <c r="E19" s="16"/>
      <c r="F19" s="16"/>
      <c r="G19" s="17"/>
      <c r="H19" s="18" t="n">
        <v>1</v>
      </c>
      <c r="I19" s="16"/>
      <c r="J19" s="16"/>
      <c r="K19" s="16"/>
      <c r="L19" s="17"/>
      <c r="M19" s="16"/>
      <c r="N19" s="16"/>
      <c r="O19" s="16"/>
      <c r="P19" s="16"/>
      <c r="Q19" s="17"/>
      <c r="R19" s="16"/>
      <c r="S19" s="16"/>
      <c r="T19" s="16"/>
      <c r="U19" s="16"/>
      <c r="V19" s="19" t="n">
        <f aca="false">COUNTIF(B19:U19,1)+COUNTIF(B19:U19,"IC")</f>
        <v>1</v>
      </c>
      <c r="W19" s="16" t="str">
        <f aca="false">IF(COUNTIF(B19:U19,"M")&gt;0,"N/A absence longue",IF(V19&gt;=2,"Atteint","Sous objectif"))</f>
        <v>Sous objectif</v>
      </c>
    </row>
    <row r="20" customFormat="false" ht="18" hidden="false" customHeight="true" outlineLevel="0" collapsed="false">
      <c r="A20" s="15" t="s">
        <v>91</v>
      </c>
      <c r="B20" s="16"/>
      <c r="C20" s="16"/>
      <c r="D20" s="16"/>
      <c r="E20" s="16"/>
      <c r="F20" s="16"/>
      <c r="G20" s="17"/>
      <c r="H20" s="18" t="n">
        <v>1</v>
      </c>
      <c r="I20" s="16"/>
      <c r="J20" s="16"/>
      <c r="K20" s="16"/>
      <c r="L20" s="17"/>
      <c r="M20" s="16"/>
      <c r="N20" s="16"/>
      <c r="O20" s="18" t="n">
        <v>1</v>
      </c>
      <c r="P20" s="16"/>
      <c r="Q20" s="17"/>
      <c r="R20" s="16"/>
      <c r="S20" s="16"/>
      <c r="T20" s="16"/>
      <c r="U20" s="16"/>
      <c r="V20" s="19" t="n">
        <f aca="false">COUNTIF(B20:U20,1)+COUNTIF(B20:U20,"IC")</f>
        <v>2</v>
      </c>
      <c r="W20" s="16" t="str">
        <f aca="false">IF(COUNTIF(B20:U20,"M")&gt;0,"N/A absence longue",IF(V20&gt;=2,"Atteint","Sous objectif"))</f>
        <v>Atteint</v>
      </c>
    </row>
    <row r="21" customFormat="false" ht="18" hidden="false" customHeight="true" outlineLevel="0" collapsed="false">
      <c r="A21" s="15" t="s">
        <v>83</v>
      </c>
      <c r="B21" s="16"/>
      <c r="C21" s="16"/>
      <c r="D21" s="16"/>
      <c r="E21" s="16"/>
      <c r="F21" s="16"/>
      <c r="G21" s="17"/>
      <c r="H21" s="18" t="n">
        <v>1</v>
      </c>
      <c r="I21" s="16"/>
      <c r="J21" s="16"/>
      <c r="K21" s="16"/>
      <c r="L21" s="17"/>
      <c r="M21" s="16"/>
      <c r="N21" s="16"/>
      <c r="O21" s="18" t="n">
        <v>1</v>
      </c>
      <c r="P21" s="16"/>
      <c r="Q21" s="17"/>
      <c r="R21" s="16"/>
      <c r="S21" s="16"/>
      <c r="T21" s="16"/>
      <c r="U21" s="16"/>
      <c r="V21" s="19" t="n">
        <f aca="false">COUNTIF(B21:U21,1)+COUNTIF(B21:U21,"IC")</f>
        <v>2</v>
      </c>
      <c r="W21" s="16" t="str">
        <f aca="false">IF(COUNTIF(B21:U21,"M")&gt;0,"N/A absence longue",IF(V21&gt;=2,"Atteint","Sous objectif"))</f>
        <v>Atteint</v>
      </c>
    </row>
    <row r="22" customFormat="false" ht="18" hidden="false" customHeight="true" outlineLevel="0" collapsed="false">
      <c r="A22" s="15" t="s">
        <v>84</v>
      </c>
      <c r="B22" s="16"/>
      <c r="C22" s="16"/>
      <c r="D22" s="16"/>
      <c r="E22" s="16"/>
      <c r="F22" s="16"/>
      <c r="G22" s="17"/>
      <c r="H22" s="18" t="n">
        <v>1</v>
      </c>
      <c r="I22" s="16"/>
      <c r="J22" s="16"/>
      <c r="K22" s="16"/>
      <c r="L22" s="17"/>
      <c r="M22" s="16"/>
      <c r="N22" s="16"/>
      <c r="O22" s="18" t="n">
        <v>1</v>
      </c>
      <c r="P22" s="16"/>
      <c r="Q22" s="17"/>
      <c r="R22" s="16"/>
      <c r="S22" s="16"/>
      <c r="T22" s="16"/>
      <c r="U22" s="16"/>
      <c r="V22" s="19" t="n">
        <f aca="false">COUNTIF(B22:U22,1)+COUNTIF(B22:U22,"IC")</f>
        <v>2</v>
      </c>
      <c r="W22" s="16" t="str">
        <f aca="false">IF(COUNTIF(B22:U22,"M")&gt;0,"N/A absence longue",IF(V22&gt;=2,"Atteint","Sous objectif"))</f>
        <v>Atteint</v>
      </c>
    </row>
    <row r="23" customFormat="false" ht="18" hidden="false" customHeight="true" outlineLevel="0" collapsed="false">
      <c r="A23" s="15" t="s">
        <v>80</v>
      </c>
      <c r="B23" s="16"/>
      <c r="C23" s="16"/>
      <c r="D23" s="16"/>
      <c r="E23" s="16"/>
      <c r="F23" s="16"/>
      <c r="G23" s="17"/>
      <c r="H23" s="16"/>
      <c r="I23" s="16"/>
      <c r="J23" s="16"/>
      <c r="K23" s="16"/>
      <c r="L23" s="17"/>
      <c r="M23" s="16"/>
      <c r="N23" s="16"/>
      <c r="O23" s="16"/>
      <c r="P23" s="16"/>
      <c r="Q23" s="17"/>
      <c r="R23" s="18" t="n">
        <v>1</v>
      </c>
      <c r="S23" s="16"/>
      <c r="T23" s="16"/>
      <c r="U23" s="16"/>
      <c r="V23" s="19" t="n">
        <f aca="false">COUNTIF(B23:U23,1)+COUNTIF(B23:U23,"IC")</f>
        <v>1</v>
      </c>
      <c r="W23" s="16" t="str">
        <f aca="false">IF(COUNTIF(B23:U23,"M")&gt;0,"N/A absence longue",IF(V23&gt;=2,"Atteint","Sous objectif"))</f>
        <v>Sous objectif</v>
      </c>
    </row>
    <row r="24" customFormat="false" ht="18" hidden="false" customHeight="true" outlineLevel="0" collapsed="false">
      <c r="A24" s="15" t="s">
        <v>90</v>
      </c>
      <c r="B24" s="16"/>
      <c r="C24" s="16"/>
      <c r="D24" s="16"/>
      <c r="E24" s="16"/>
      <c r="F24" s="16"/>
      <c r="G24" s="17"/>
      <c r="H24" s="16"/>
      <c r="I24" s="16"/>
      <c r="J24" s="16"/>
      <c r="K24" s="16"/>
      <c r="L24" s="17"/>
      <c r="M24" s="16"/>
      <c r="N24" s="16"/>
      <c r="O24" s="16"/>
      <c r="P24" s="16"/>
      <c r="Q24" s="17"/>
      <c r="R24" s="16"/>
      <c r="S24" s="16"/>
      <c r="T24" s="16"/>
      <c r="U24" s="16"/>
      <c r="V24" s="19" t="n">
        <f aca="false">COUNTIF(B24:U24,1)+COUNTIF(B24:U24,"IC")</f>
        <v>0</v>
      </c>
      <c r="W24" s="16" t="str">
        <f aca="false">IF(COUNTIF(B24:U24,"M")&gt;0,"N/A absence longue",IF(V24&gt;=2,"Atteint","Sous objectif"))</f>
        <v>Sous objectif</v>
      </c>
    </row>
    <row r="25" customFormat="false" ht="18" hidden="false" customHeight="true" outlineLevel="0" collapsed="false">
      <c r="A25" s="15" t="s">
        <v>98</v>
      </c>
      <c r="B25" s="18" t="n">
        <v>1</v>
      </c>
      <c r="C25" s="18" t="n">
        <v>1</v>
      </c>
      <c r="D25" s="16"/>
      <c r="E25" s="18" t="n">
        <v>1</v>
      </c>
      <c r="F25" s="16"/>
      <c r="G25" s="24" t="n">
        <v>1</v>
      </c>
      <c r="H25" s="18" t="n">
        <v>1</v>
      </c>
      <c r="I25" s="16"/>
      <c r="J25" s="18" t="n">
        <v>1</v>
      </c>
      <c r="K25" s="16"/>
      <c r="L25" s="24" t="n">
        <v>1</v>
      </c>
      <c r="M25" s="16"/>
      <c r="N25" s="16"/>
      <c r="O25" s="18" t="n">
        <v>1</v>
      </c>
      <c r="P25" s="16"/>
      <c r="Q25" s="24" t="n">
        <v>1</v>
      </c>
      <c r="R25" s="18" t="n">
        <v>1</v>
      </c>
      <c r="S25" s="16"/>
      <c r="T25" s="18" t="n">
        <v>1</v>
      </c>
      <c r="U25" s="16"/>
      <c r="V25" s="19" t="n">
        <f aca="false">COUNTIF(B25:U25,1)+COUNTIF(B25:U25,"IC")</f>
        <v>11</v>
      </c>
      <c r="W25" s="16" t="str">
        <f aca="false">IF(COUNTIF(B25:U25,"M")&gt;0,"N/A absence longue",IF(V25&gt;=2,"Atteint","Sous objectif"))</f>
        <v>Atteint</v>
      </c>
    </row>
    <row r="26" customFormat="false" ht="18" hidden="false" customHeight="true" outlineLevel="0" collapsed="false">
      <c r="A26" s="15" t="s">
        <v>99</v>
      </c>
      <c r="B26" s="16"/>
      <c r="C26" s="16"/>
      <c r="D26" s="16"/>
      <c r="E26" s="16"/>
      <c r="F26" s="16"/>
      <c r="G26" s="17"/>
      <c r="H26" s="16"/>
      <c r="I26" s="16"/>
      <c r="J26" s="16"/>
      <c r="K26" s="16"/>
      <c r="L26" s="17"/>
      <c r="M26" s="16"/>
      <c r="N26" s="16"/>
      <c r="O26" s="18" t="n">
        <v>1</v>
      </c>
      <c r="P26" s="16"/>
      <c r="Q26" s="17"/>
      <c r="R26" s="16"/>
      <c r="S26" s="16"/>
      <c r="T26" s="16"/>
      <c r="U26" s="16"/>
      <c r="V26" s="19" t="n">
        <f aca="false">COUNTIF(B26:U26,1)+COUNTIF(B26:U26,"IC")</f>
        <v>1</v>
      </c>
      <c r="W26" s="16" t="str">
        <f aca="false">IF(COUNTIF(B26:U26,"M")&gt;0,"N/A absence longue",IF(V26&gt;=2,"Atteint","Sous objectif"))</f>
        <v>Sous objectif</v>
      </c>
    </row>
    <row r="27" customFormat="false" ht="18" hidden="false" customHeight="true" outlineLevel="0" collapsed="false">
      <c r="A27" s="15" t="s">
        <v>96</v>
      </c>
      <c r="B27" s="16"/>
      <c r="C27" s="18" t="n">
        <v>1</v>
      </c>
      <c r="D27" s="16"/>
      <c r="E27" s="16"/>
      <c r="F27" s="16"/>
      <c r="G27" s="17"/>
      <c r="H27" s="18" t="n">
        <v>1</v>
      </c>
      <c r="I27" s="16"/>
      <c r="J27" s="16"/>
      <c r="K27" s="16"/>
      <c r="L27" s="17"/>
      <c r="M27" s="18" t="n">
        <v>1</v>
      </c>
      <c r="N27" s="16"/>
      <c r="O27" s="18" t="n">
        <v>1</v>
      </c>
      <c r="P27" s="16"/>
      <c r="Q27" s="17"/>
      <c r="R27" s="18" t="n">
        <v>1</v>
      </c>
      <c r="S27" s="16"/>
      <c r="T27" s="16"/>
      <c r="U27" s="16"/>
      <c r="V27" s="19" t="n">
        <f aca="false">COUNTIF(B27:U27,1)+COUNTIF(B27:U27,"IC")</f>
        <v>5</v>
      </c>
      <c r="W27" s="16" t="str">
        <f aca="false">IF(COUNTIF(B27:U27,"M")&gt;0,"N/A absence longue",IF(V27&gt;=2,"Atteint","Sous objectif"))</f>
        <v>Atteint</v>
      </c>
    </row>
    <row r="28" customFormat="false" ht="18" hidden="false" customHeight="true" outlineLevel="0" collapsed="false">
      <c r="A28" s="15" t="s">
        <v>79</v>
      </c>
      <c r="B28" s="16"/>
      <c r="C28" s="18" t="n">
        <v>1</v>
      </c>
      <c r="D28" s="16"/>
      <c r="E28" s="16"/>
      <c r="F28" s="16"/>
      <c r="G28" s="17"/>
      <c r="H28" s="18" t="n">
        <v>1</v>
      </c>
      <c r="I28" s="16"/>
      <c r="J28" s="16"/>
      <c r="K28" s="16"/>
      <c r="L28" s="17"/>
      <c r="M28" s="16"/>
      <c r="N28" s="16"/>
      <c r="O28" s="18" t="n">
        <v>1</v>
      </c>
      <c r="P28" s="16"/>
      <c r="Q28" s="17"/>
      <c r="R28" s="18" t="n">
        <v>1</v>
      </c>
      <c r="S28" s="16"/>
      <c r="T28" s="16"/>
      <c r="U28" s="16"/>
      <c r="V28" s="19" t="n">
        <f aca="false">COUNTIF(B28:U28,1)+COUNTIF(B28:U28,"IC")</f>
        <v>4</v>
      </c>
      <c r="W28" s="16" t="str">
        <f aca="false">IF(COUNTIF(B28:U28,"M")&gt;0,"N/A absence longue",IF(V28&gt;=2,"Atteint","Sous objectif"))</f>
        <v>Atteint</v>
      </c>
    </row>
    <row r="30" customFormat="false" ht="15.75" hidden="false" customHeight="true" outlineLevel="0" collapsed="false">
      <c r="A30" s="25" t="s">
        <v>129</v>
      </c>
    </row>
    <row r="31" customFormat="false" ht="15.75" hidden="false" customHeight="true" outlineLevel="0" collapsed="false">
      <c r="A31" s="26" t="s">
        <v>119</v>
      </c>
      <c r="B31" s="16"/>
      <c r="C31" s="16"/>
      <c r="D31" s="16"/>
      <c r="E31" s="16"/>
      <c r="F31" s="16"/>
      <c r="G31" s="17"/>
      <c r="H31" s="16"/>
      <c r="I31" s="16"/>
      <c r="J31" s="16"/>
      <c r="K31" s="16"/>
      <c r="L31" s="17"/>
      <c r="M31" s="16"/>
      <c r="N31" s="16"/>
      <c r="O31" s="16"/>
      <c r="P31" s="16"/>
      <c r="Q31" s="17"/>
      <c r="R31" s="16"/>
      <c r="S31" s="16"/>
      <c r="T31" s="16"/>
      <c r="U31" s="16"/>
    </row>
    <row r="32" customFormat="false" ht="15.75" hidden="false" customHeight="true" outlineLevel="0" collapsed="false">
      <c r="A32" s="26" t="s">
        <v>117</v>
      </c>
      <c r="B32" s="16"/>
      <c r="C32" s="16"/>
      <c r="D32" s="16"/>
      <c r="E32" s="16"/>
      <c r="F32" s="16"/>
      <c r="G32" s="17"/>
      <c r="H32" s="16"/>
      <c r="I32" s="16"/>
      <c r="J32" s="16"/>
      <c r="K32" s="16"/>
      <c r="L32" s="17"/>
      <c r="M32" s="16"/>
      <c r="N32" s="16"/>
      <c r="O32" s="27" t="s">
        <v>18</v>
      </c>
      <c r="P32" s="16"/>
      <c r="Q32" s="17"/>
      <c r="R32" s="16"/>
      <c r="S32" s="16"/>
      <c r="T32" s="16"/>
      <c r="U32" s="16"/>
    </row>
    <row r="33" customFormat="false" ht="15.75" hidden="false" customHeight="true" outlineLevel="0" collapsed="false">
      <c r="A33" s="26" t="s">
        <v>130</v>
      </c>
      <c r="B33" s="16"/>
      <c r="C33" s="16"/>
      <c r="D33" s="16"/>
      <c r="E33" s="16"/>
      <c r="F33" s="16"/>
      <c r="G33" s="17"/>
      <c r="H33" s="16"/>
      <c r="I33" s="16"/>
      <c r="J33" s="16"/>
      <c r="K33" s="16"/>
      <c r="L33" s="17"/>
      <c r="M33" s="16"/>
      <c r="N33" s="16"/>
      <c r="O33" s="16"/>
      <c r="P33" s="16"/>
      <c r="Q33" s="17"/>
      <c r="R33" s="16"/>
      <c r="S33" s="16"/>
      <c r="T33" s="16"/>
      <c r="U33" s="16"/>
    </row>
  </sheetData>
  <mergeCells count="1">
    <mergeCell ref="A1:W1"/>
  </mergeCells>
  <conditionalFormatting sqref="B4:U28">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1:U33">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1:U33" type="list">
      <formula1>"X"</formula1>
      <formula2>0</formula2>
    </dataValidation>
    <dataValidation allowBlank="true" error="Valeurs autorisées : 1, IC, M ou vide." errorStyle="stop" errorTitle="Valeur invalide" operator="between" showDropDown="false" showErrorMessage="true" showInputMessage="false" sqref="B4:U28"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9" t="s">
        <v>131</v>
      </c>
      <c r="B1" s="9"/>
      <c r="C1" s="9"/>
      <c r="D1" s="9"/>
      <c r="E1" s="9"/>
      <c r="F1" s="9"/>
      <c r="G1" s="9"/>
      <c r="H1" s="9"/>
      <c r="I1" s="9"/>
      <c r="J1" s="9"/>
      <c r="K1" s="9"/>
      <c r="L1" s="9"/>
      <c r="M1" s="9"/>
      <c r="N1" s="9"/>
      <c r="O1" s="9"/>
      <c r="P1" s="9"/>
      <c r="Q1" s="9"/>
      <c r="R1" s="9"/>
      <c r="S1" s="9"/>
      <c r="T1" s="9"/>
      <c r="U1" s="9"/>
      <c r="V1" s="9"/>
      <c r="W1" s="9"/>
      <c r="X1" s="9"/>
      <c r="Y1" s="9"/>
    </row>
    <row r="3" customFormat="false" ht="21.75" hidden="false" customHeight="true" outlineLevel="0" collapsed="false">
      <c r="A3" s="10" t="s">
        <v>74</v>
      </c>
      <c r="B3" s="11" t="n">
        <v>46083</v>
      </c>
      <c r="C3" s="11" t="n">
        <v>46084</v>
      </c>
      <c r="D3" s="11" t="n">
        <v>46085</v>
      </c>
      <c r="E3" s="11" t="n">
        <v>46086</v>
      </c>
      <c r="F3" s="11" t="n">
        <v>46087</v>
      </c>
      <c r="G3" s="12" t="n">
        <v>46090</v>
      </c>
      <c r="H3" s="11" t="n">
        <v>46091</v>
      </c>
      <c r="I3" s="11" t="n">
        <v>46092</v>
      </c>
      <c r="J3" s="11" t="n">
        <v>46093</v>
      </c>
      <c r="K3" s="11" t="n">
        <v>46094</v>
      </c>
      <c r="L3" s="12" t="n">
        <v>46097</v>
      </c>
      <c r="M3" s="11" t="n">
        <v>46098</v>
      </c>
      <c r="N3" s="11" t="n">
        <v>46099</v>
      </c>
      <c r="O3" s="11" t="n">
        <v>46100</v>
      </c>
      <c r="P3" s="11" t="n">
        <v>46101</v>
      </c>
      <c r="Q3" s="12" t="n">
        <v>46104</v>
      </c>
      <c r="R3" s="11" t="n">
        <v>46105</v>
      </c>
      <c r="S3" s="11" t="n">
        <v>46106</v>
      </c>
      <c r="T3" s="11" t="n">
        <v>46107</v>
      </c>
      <c r="U3" s="11" t="n">
        <v>46108</v>
      </c>
      <c r="V3" s="12" t="n">
        <v>46111</v>
      </c>
      <c r="W3" s="11" t="n">
        <v>46112</v>
      </c>
      <c r="X3" s="13" t="s">
        <v>127</v>
      </c>
      <c r="Y3" s="14" t="s">
        <v>128</v>
      </c>
    </row>
    <row r="4" customFormat="false" ht="18" hidden="false" customHeight="true" outlineLevel="0" collapsed="false">
      <c r="A4" s="15" t="s">
        <v>88</v>
      </c>
      <c r="B4" s="16"/>
      <c r="C4" s="16"/>
      <c r="D4" s="16"/>
      <c r="E4" s="16"/>
      <c r="F4" s="16"/>
      <c r="G4" s="17"/>
      <c r="H4" s="16"/>
      <c r="I4" s="18" t="n">
        <v>1</v>
      </c>
      <c r="J4" s="16"/>
      <c r="K4" s="16"/>
      <c r="L4" s="17"/>
      <c r="M4" s="18" t="n">
        <v>1</v>
      </c>
      <c r="N4" s="16"/>
      <c r="O4" s="16"/>
      <c r="P4" s="16"/>
      <c r="Q4" s="17"/>
      <c r="R4" s="16"/>
      <c r="S4" s="16"/>
      <c r="T4" s="18" t="n">
        <v>1</v>
      </c>
      <c r="U4" s="16"/>
      <c r="V4" s="17"/>
      <c r="W4" s="16"/>
      <c r="X4" s="19" t="n">
        <f aca="false">COUNTIF(B4:W4,1)+COUNTIF(B4:W4,"IC")</f>
        <v>3</v>
      </c>
      <c r="Y4" s="16" t="str">
        <f aca="false">IF(COUNTIF(B4:W4,"M")&gt;0,"N/A absence longue",IF(X4&gt;=2,"Atteint","Sous objectif"))</f>
        <v>Atteint</v>
      </c>
    </row>
    <row r="5" customFormat="false" ht="18" hidden="false" customHeight="true" outlineLevel="0" collapsed="false">
      <c r="A5" s="15" t="s">
        <v>103</v>
      </c>
      <c r="B5" s="20" t="s">
        <v>15</v>
      </c>
      <c r="C5" s="20" t="s">
        <v>15</v>
      </c>
      <c r="D5" s="20" t="s">
        <v>15</v>
      </c>
      <c r="E5" s="20" t="s">
        <v>15</v>
      </c>
      <c r="F5" s="20" t="s">
        <v>15</v>
      </c>
      <c r="G5" s="21" t="s">
        <v>15</v>
      </c>
      <c r="H5" s="20" t="s">
        <v>15</v>
      </c>
      <c r="I5" s="20" t="s">
        <v>15</v>
      </c>
      <c r="J5" s="20" t="s">
        <v>15</v>
      </c>
      <c r="K5" s="20" t="s">
        <v>15</v>
      </c>
      <c r="L5" s="21" t="s">
        <v>15</v>
      </c>
      <c r="M5" s="20" t="s">
        <v>15</v>
      </c>
      <c r="N5" s="20" t="s">
        <v>15</v>
      </c>
      <c r="O5" s="20" t="s">
        <v>15</v>
      </c>
      <c r="P5" s="20" t="s">
        <v>15</v>
      </c>
      <c r="Q5" s="21" t="s">
        <v>15</v>
      </c>
      <c r="R5" s="20" t="s">
        <v>15</v>
      </c>
      <c r="S5" s="20" t="s">
        <v>15</v>
      </c>
      <c r="T5" s="20" t="s">
        <v>15</v>
      </c>
      <c r="U5" s="20" t="s">
        <v>15</v>
      </c>
      <c r="V5" s="21" t="s">
        <v>15</v>
      </c>
      <c r="W5" s="20" t="s">
        <v>15</v>
      </c>
      <c r="X5" s="19" t="n">
        <f aca="false">COUNTIF(B5:W5,1)+COUNTIF(B5:W5,"IC")</f>
        <v>0</v>
      </c>
      <c r="Y5" s="16" t="str">
        <f aca="false">IF(COUNTIF(B5:W5,"M")&gt;0,"N/A absence longue",IF(X5&gt;=2,"Atteint","Sous objectif"))</f>
        <v>N/A absence longue</v>
      </c>
    </row>
    <row r="6" customFormat="false" ht="18" hidden="false" customHeight="true" outlineLevel="0" collapsed="false">
      <c r="A6" s="15" t="s">
        <v>85</v>
      </c>
      <c r="B6" s="16"/>
      <c r="C6" s="16"/>
      <c r="D6" s="16"/>
      <c r="E6" s="16"/>
      <c r="F6" s="16"/>
      <c r="G6" s="17"/>
      <c r="H6" s="16"/>
      <c r="I6" s="16"/>
      <c r="J6" s="16"/>
      <c r="K6" s="16"/>
      <c r="L6" s="17"/>
      <c r="M6" s="16"/>
      <c r="N6" s="16"/>
      <c r="O6" s="16"/>
      <c r="P6" s="16"/>
      <c r="Q6" s="17"/>
      <c r="R6" s="16"/>
      <c r="S6" s="16"/>
      <c r="T6" s="16"/>
      <c r="U6" s="16"/>
      <c r="V6" s="17"/>
      <c r="W6" s="16"/>
      <c r="X6" s="19" t="n">
        <f aca="false">COUNTIF(B6:W6,1)+COUNTIF(B6:W6,"IC")</f>
        <v>0</v>
      </c>
      <c r="Y6" s="16" t="str">
        <f aca="false">IF(COUNTIF(B6:W6,"M")&gt;0,"N/A absence longue",IF(X6&gt;=2,"Atteint","Sous objectif"))</f>
        <v>Sous objectif</v>
      </c>
    </row>
    <row r="7" customFormat="false" ht="18" hidden="false" customHeight="true" outlineLevel="0" collapsed="false">
      <c r="A7" s="15" t="s">
        <v>95</v>
      </c>
      <c r="B7" s="16"/>
      <c r="C7" s="18" t="n">
        <v>1</v>
      </c>
      <c r="D7" s="16"/>
      <c r="E7" s="16"/>
      <c r="F7" s="16"/>
      <c r="G7" s="17"/>
      <c r="H7" s="16"/>
      <c r="I7" s="16"/>
      <c r="J7" s="16"/>
      <c r="K7" s="16"/>
      <c r="L7" s="17"/>
      <c r="M7" s="18" t="n">
        <v>1</v>
      </c>
      <c r="N7" s="16"/>
      <c r="O7" s="18" t="n">
        <v>1</v>
      </c>
      <c r="P7" s="16"/>
      <c r="Q7" s="17"/>
      <c r="R7" s="18" t="n">
        <v>1</v>
      </c>
      <c r="S7" s="16"/>
      <c r="T7" s="18" t="n">
        <v>1</v>
      </c>
      <c r="U7" s="16"/>
      <c r="V7" s="17"/>
      <c r="W7" s="18" t="n">
        <v>1</v>
      </c>
      <c r="X7" s="19" t="n">
        <f aca="false">COUNTIF(B7:W7,1)+COUNTIF(B7:W7,"IC")</f>
        <v>6</v>
      </c>
      <c r="Y7" s="16" t="str">
        <f aca="false">IF(COUNTIF(B7:W7,"M")&gt;0,"N/A absence longue",IF(X7&gt;=2,"Atteint","Sous objectif"))</f>
        <v>Atteint</v>
      </c>
    </row>
    <row r="8" customFormat="false" ht="18" hidden="false" customHeight="true" outlineLevel="0" collapsed="false">
      <c r="A8" s="15" t="s">
        <v>94</v>
      </c>
      <c r="B8" s="22" t="s">
        <v>9</v>
      </c>
      <c r="C8" s="22" t="s">
        <v>9</v>
      </c>
      <c r="D8" s="16"/>
      <c r="E8" s="22" t="s">
        <v>9</v>
      </c>
      <c r="F8" s="16"/>
      <c r="G8" s="23" t="s">
        <v>9</v>
      </c>
      <c r="H8" s="16"/>
      <c r="I8" s="22" t="s">
        <v>9</v>
      </c>
      <c r="J8" s="22" t="s">
        <v>9</v>
      </c>
      <c r="K8" s="16"/>
      <c r="L8" s="17"/>
      <c r="M8" s="22" t="s">
        <v>9</v>
      </c>
      <c r="N8" s="16"/>
      <c r="O8" s="22" t="s">
        <v>9</v>
      </c>
      <c r="P8" s="16"/>
      <c r="Q8" s="17"/>
      <c r="R8" s="22" t="s">
        <v>9</v>
      </c>
      <c r="S8" s="16"/>
      <c r="T8" s="22" t="s">
        <v>9</v>
      </c>
      <c r="U8" s="16"/>
      <c r="V8" s="23" t="s">
        <v>9</v>
      </c>
      <c r="W8" s="22" t="s">
        <v>9</v>
      </c>
      <c r="X8" s="19" t="n">
        <f aca="false">COUNTIF(B8:W8,1)+COUNTIF(B8:W8,"IC")</f>
        <v>12</v>
      </c>
      <c r="Y8" s="16" t="str">
        <f aca="false">IF(COUNTIF(B8:W8,"M")&gt;0,"N/A absence longue",IF(X8&gt;=2,"Atteint","Sous objectif"))</f>
        <v>Atteint</v>
      </c>
    </row>
    <row r="9" customFormat="false" ht="18" hidden="false" customHeight="true" outlineLevel="0" collapsed="false">
      <c r="A9" s="15" t="s">
        <v>82</v>
      </c>
      <c r="B9" s="16"/>
      <c r="C9" s="16"/>
      <c r="D9" s="16"/>
      <c r="E9" s="16"/>
      <c r="F9" s="16"/>
      <c r="G9" s="17"/>
      <c r="H9" s="16"/>
      <c r="I9" s="18" t="n">
        <v>1</v>
      </c>
      <c r="J9" s="16"/>
      <c r="K9" s="16"/>
      <c r="L9" s="17"/>
      <c r="M9" s="16"/>
      <c r="N9" s="16"/>
      <c r="O9" s="16"/>
      <c r="P9" s="16"/>
      <c r="Q9" s="17"/>
      <c r="R9" s="16"/>
      <c r="S9" s="16"/>
      <c r="T9" s="16"/>
      <c r="U9" s="16"/>
      <c r="V9" s="17"/>
      <c r="W9" s="16"/>
      <c r="X9" s="19" t="n">
        <f aca="false">COUNTIF(B9:W9,1)+COUNTIF(B9:W9,"IC")</f>
        <v>1</v>
      </c>
      <c r="Y9" s="16" t="str">
        <f aca="false">IF(COUNTIF(B9:W9,"M")&gt;0,"N/A absence longue",IF(X9&gt;=2,"Atteint","Sous objectif"))</f>
        <v>Sous objectif</v>
      </c>
    </row>
    <row r="10" customFormat="false" ht="18" hidden="false" customHeight="true" outlineLevel="0" collapsed="false">
      <c r="A10" s="15" t="s">
        <v>97</v>
      </c>
      <c r="B10" s="16"/>
      <c r="C10" s="18" t="n">
        <v>1</v>
      </c>
      <c r="D10" s="16"/>
      <c r="E10" s="18" t="n">
        <v>1</v>
      </c>
      <c r="F10" s="16"/>
      <c r="G10" s="17"/>
      <c r="H10" s="16"/>
      <c r="I10" s="16"/>
      <c r="J10" s="18" t="n">
        <v>1</v>
      </c>
      <c r="K10" s="16"/>
      <c r="L10" s="24" t="n">
        <v>1</v>
      </c>
      <c r="M10" s="16"/>
      <c r="N10" s="16"/>
      <c r="O10" s="18" t="n">
        <v>1</v>
      </c>
      <c r="P10" s="16"/>
      <c r="Q10" s="17"/>
      <c r="R10" s="16"/>
      <c r="S10" s="16"/>
      <c r="T10" s="18" t="n">
        <v>1</v>
      </c>
      <c r="U10" s="16"/>
      <c r="V10" s="17"/>
      <c r="W10" s="18" t="n">
        <v>1</v>
      </c>
      <c r="X10" s="19" t="n">
        <f aca="false">COUNTIF(B10:W10,1)+COUNTIF(B10:W10,"IC")</f>
        <v>7</v>
      </c>
      <c r="Y10" s="16" t="str">
        <f aca="false">IF(COUNTIF(B10:W10,"M")&gt;0,"N/A absence longue",IF(X10&gt;=2,"Atteint","Sous objectif"))</f>
        <v>Atteint</v>
      </c>
    </row>
    <row r="11" customFormat="false" ht="18" hidden="false" customHeight="true" outlineLevel="0" collapsed="false">
      <c r="A11" s="15" t="s">
        <v>93</v>
      </c>
      <c r="B11" s="16"/>
      <c r="C11" s="16"/>
      <c r="D11" s="16"/>
      <c r="E11" s="18" t="n">
        <v>1</v>
      </c>
      <c r="F11" s="16"/>
      <c r="G11" s="17"/>
      <c r="H11" s="16"/>
      <c r="I11" s="16"/>
      <c r="J11" s="16"/>
      <c r="K11" s="16"/>
      <c r="L11" s="17"/>
      <c r="M11" s="16"/>
      <c r="N11" s="16"/>
      <c r="O11" s="18" t="n">
        <v>1</v>
      </c>
      <c r="P11" s="16"/>
      <c r="Q11" s="17"/>
      <c r="R11" s="16"/>
      <c r="S11" s="16"/>
      <c r="T11" s="16"/>
      <c r="U11" s="16"/>
      <c r="V11" s="17"/>
      <c r="W11" s="16"/>
      <c r="X11" s="19" t="n">
        <f aca="false">COUNTIF(B11:W11,1)+COUNTIF(B11:W11,"IC")</f>
        <v>2</v>
      </c>
      <c r="Y11" s="16" t="str">
        <f aca="false">IF(COUNTIF(B11:W11,"M")&gt;0,"N/A absence longue",IF(X11&gt;=2,"Atteint","Sous objectif"))</f>
        <v>Atteint</v>
      </c>
    </row>
    <row r="12" customFormat="false" ht="18" hidden="false" customHeight="true" outlineLevel="0" collapsed="false">
      <c r="A12" s="15" t="s">
        <v>81</v>
      </c>
      <c r="B12" s="16"/>
      <c r="C12" s="16"/>
      <c r="D12" s="16"/>
      <c r="E12" s="16"/>
      <c r="F12" s="16"/>
      <c r="G12" s="17"/>
      <c r="H12" s="16"/>
      <c r="I12" s="16"/>
      <c r="J12" s="16"/>
      <c r="K12" s="16"/>
      <c r="L12" s="17"/>
      <c r="M12" s="16"/>
      <c r="N12" s="16"/>
      <c r="O12" s="16"/>
      <c r="P12" s="16"/>
      <c r="Q12" s="17"/>
      <c r="R12" s="16"/>
      <c r="S12" s="16"/>
      <c r="T12" s="18" t="n">
        <v>1</v>
      </c>
      <c r="U12" s="16"/>
      <c r="V12" s="17"/>
      <c r="W12" s="16"/>
      <c r="X12" s="19" t="n">
        <f aca="false">COUNTIF(B12:W12,1)+COUNTIF(B12:W12,"IC")</f>
        <v>1</v>
      </c>
      <c r="Y12" s="16" t="str">
        <f aca="false">IF(COUNTIF(B12:W12,"M")&gt;0,"N/A absence longue",IF(X12&gt;=2,"Atteint","Sous objectif"))</f>
        <v>Sous objectif</v>
      </c>
    </row>
    <row r="13" customFormat="false" ht="18" hidden="false" customHeight="true" outlineLevel="0" collapsed="false">
      <c r="A13" s="15" t="s">
        <v>78</v>
      </c>
      <c r="B13" s="16"/>
      <c r="C13" s="16"/>
      <c r="D13" s="16"/>
      <c r="E13" s="16"/>
      <c r="F13" s="16"/>
      <c r="G13" s="17"/>
      <c r="H13" s="16"/>
      <c r="I13" s="18" t="n">
        <v>1</v>
      </c>
      <c r="J13" s="16"/>
      <c r="K13" s="16"/>
      <c r="L13" s="24" t="n">
        <v>1</v>
      </c>
      <c r="M13" s="16"/>
      <c r="N13" s="16"/>
      <c r="O13" s="16"/>
      <c r="P13" s="16"/>
      <c r="Q13" s="17"/>
      <c r="R13" s="16"/>
      <c r="S13" s="16"/>
      <c r="T13" s="16"/>
      <c r="U13" s="16"/>
      <c r="V13" s="17"/>
      <c r="W13" s="16"/>
      <c r="X13" s="19" t="n">
        <f aca="false">COUNTIF(B13:W13,1)+COUNTIF(B13:W13,"IC")</f>
        <v>2</v>
      </c>
      <c r="Y13" s="16" t="str">
        <f aca="false">IF(COUNTIF(B13:W13,"M")&gt;0,"N/A absence longue",IF(X13&gt;=2,"Atteint","Sous objectif"))</f>
        <v>Atteint</v>
      </c>
    </row>
    <row r="14" customFormat="false" ht="18" hidden="false" customHeight="true" outlineLevel="0" collapsed="false">
      <c r="A14" s="15" t="s">
        <v>101</v>
      </c>
      <c r="B14" s="16"/>
      <c r="C14" s="16"/>
      <c r="D14" s="16"/>
      <c r="E14" s="16"/>
      <c r="F14" s="16"/>
      <c r="G14" s="17"/>
      <c r="H14" s="16"/>
      <c r="I14" s="18" t="n">
        <v>1</v>
      </c>
      <c r="J14" s="16"/>
      <c r="K14" s="16"/>
      <c r="L14" s="17"/>
      <c r="M14" s="18" t="n">
        <v>1</v>
      </c>
      <c r="N14" s="16"/>
      <c r="O14" s="16"/>
      <c r="P14" s="16"/>
      <c r="Q14" s="17"/>
      <c r="R14" s="16"/>
      <c r="S14" s="16"/>
      <c r="T14" s="16"/>
      <c r="U14" s="16"/>
      <c r="V14" s="17"/>
      <c r="W14" s="16"/>
      <c r="X14" s="19" t="n">
        <f aca="false">COUNTIF(B14:W14,1)+COUNTIF(B14:W14,"IC")</f>
        <v>2</v>
      </c>
      <c r="Y14" s="16" t="str">
        <f aca="false">IF(COUNTIF(B14:W14,"M")&gt;0,"N/A absence longue",IF(X14&gt;=2,"Atteint","Sous objectif"))</f>
        <v>Atteint</v>
      </c>
    </row>
    <row r="15" customFormat="false" ht="18" hidden="false" customHeight="true" outlineLevel="0" collapsed="false">
      <c r="A15" s="15" t="s">
        <v>89</v>
      </c>
      <c r="B15" s="16"/>
      <c r="C15" s="16"/>
      <c r="D15" s="16"/>
      <c r="E15" s="16"/>
      <c r="F15" s="18" t="n">
        <v>1</v>
      </c>
      <c r="G15" s="17"/>
      <c r="H15" s="16"/>
      <c r="I15" s="18" t="n">
        <v>1</v>
      </c>
      <c r="J15" s="16"/>
      <c r="K15" s="16"/>
      <c r="L15" s="24" t="n">
        <v>1</v>
      </c>
      <c r="M15" s="16"/>
      <c r="N15" s="16"/>
      <c r="O15" s="18" t="n">
        <v>1</v>
      </c>
      <c r="P15" s="16"/>
      <c r="Q15" s="17"/>
      <c r="R15" s="16"/>
      <c r="S15" s="16"/>
      <c r="T15" s="18" t="n">
        <v>1</v>
      </c>
      <c r="U15" s="16"/>
      <c r="V15" s="17"/>
      <c r="W15" s="16"/>
      <c r="X15" s="19" t="n">
        <f aca="false">COUNTIF(B15:W15,1)+COUNTIF(B15:W15,"IC")</f>
        <v>5</v>
      </c>
      <c r="Y15" s="16" t="str">
        <f aca="false">IF(COUNTIF(B15:W15,"M")&gt;0,"N/A absence longue",IF(X15&gt;=2,"Atteint","Sous objectif"))</f>
        <v>Atteint</v>
      </c>
    </row>
    <row r="16" customFormat="false" ht="18" hidden="false" customHeight="true" outlineLevel="0" collapsed="false">
      <c r="A16" s="15" t="s">
        <v>102</v>
      </c>
      <c r="B16" s="16"/>
      <c r="C16" s="16"/>
      <c r="D16" s="16"/>
      <c r="E16" s="16"/>
      <c r="F16" s="16"/>
      <c r="G16" s="17"/>
      <c r="H16" s="18" t="n">
        <v>1</v>
      </c>
      <c r="I16" s="18" t="n">
        <v>1</v>
      </c>
      <c r="J16" s="16"/>
      <c r="K16" s="16"/>
      <c r="L16" s="24" t="n">
        <v>1</v>
      </c>
      <c r="M16" s="16"/>
      <c r="N16" s="16"/>
      <c r="O16" s="16"/>
      <c r="P16" s="16"/>
      <c r="Q16" s="17"/>
      <c r="R16" s="16"/>
      <c r="S16" s="16"/>
      <c r="T16" s="18" t="n">
        <v>1</v>
      </c>
      <c r="U16" s="16"/>
      <c r="V16" s="17"/>
      <c r="W16" s="16"/>
      <c r="X16" s="19" t="n">
        <f aca="false">COUNTIF(B16:W16,1)+COUNTIF(B16:W16,"IC")</f>
        <v>4</v>
      </c>
      <c r="Y16" s="16" t="str">
        <f aca="false">IF(COUNTIF(B16:W16,"M")&gt;0,"N/A absence longue",IF(X16&gt;=2,"Atteint","Sous objectif"))</f>
        <v>Atteint</v>
      </c>
    </row>
    <row r="17" customFormat="false" ht="18" hidden="false" customHeight="true" outlineLevel="0" collapsed="false">
      <c r="A17" s="15" t="s">
        <v>86</v>
      </c>
      <c r="B17" s="16"/>
      <c r="C17" s="16"/>
      <c r="D17" s="16"/>
      <c r="E17" s="16"/>
      <c r="F17" s="16"/>
      <c r="G17" s="17"/>
      <c r="H17" s="16"/>
      <c r="I17" s="16"/>
      <c r="J17" s="16"/>
      <c r="K17" s="16"/>
      <c r="L17" s="17"/>
      <c r="M17" s="16"/>
      <c r="N17" s="16"/>
      <c r="O17" s="16"/>
      <c r="P17" s="16"/>
      <c r="Q17" s="17"/>
      <c r="R17" s="16"/>
      <c r="S17" s="16"/>
      <c r="T17" s="18" t="n">
        <v>1</v>
      </c>
      <c r="U17" s="16"/>
      <c r="V17" s="17"/>
      <c r="W17" s="16"/>
      <c r="X17" s="19" t="n">
        <f aca="false">COUNTIF(B17:W17,1)+COUNTIF(B17:W17,"IC")</f>
        <v>1</v>
      </c>
      <c r="Y17" s="16" t="str">
        <f aca="false">IF(COUNTIF(B17:W17,"M")&gt;0,"N/A absence longue",IF(X17&gt;=2,"Atteint","Sous objectif"))</f>
        <v>Sous objectif</v>
      </c>
    </row>
    <row r="18" customFormat="false" ht="18" hidden="false" customHeight="true" outlineLevel="0" collapsed="false">
      <c r="A18" s="15" t="s">
        <v>92</v>
      </c>
      <c r="B18" s="16"/>
      <c r="C18" s="16"/>
      <c r="D18" s="16"/>
      <c r="E18" s="16"/>
      <c r="F18" s="16"/>
      <c r="G18" s="17"/>
      <c r="H18" s="16"/>
      <c r="I18" s="16"/>
      <c r="J18" s="16"/>
      <c r="K18" s="16"/>
      <c r="L18" s="17"/>
      <c r="M18" s="16"/>
      <c r="N18" s="16"/>
      <c r="O18" s="16"/>
      <c r="P18" s="16"/>
      <c r="Q18" s="17"/>
      <c r="R18" s="16"/>
      <c r="S18" s="16"/>
      <c r="T18" s="18" t="n">
        <v>1</v>
      </c>
      <c r="U18" s="16"/>
      <c r="V18" s="17"/>
      <c r="W18" s="16"/>
      <c r="X18" s="19" t="n">
        <f aca="false">COUNTIF(B18:W18,1)+COUNTIF(B18:W18,"IC")</f>
        <v>1</v>
      </c>
      <c r="Y18" s="16" t="str">
        <f aca="false">IF(COUNTIF(B18:W18,"M")&gt;0,"N/A absence longue",IF(X18&gt;=2,"Atteint","Sous objectif"))</f>
        <v>Sous objectif</v>
      </c>
    </row>
    <row r="19" customFormat="false" ht="18" hidden="false" customHeight="true" outlineLevel="0" collapsed="false">
      <c r="A19" s="15" t="s">
        <v>100</v>
      </c>
      <c r="B19" s="16"/>
      <c r="C19" s="16"/>
      <c r="D19" s="16"/>
      <c r="E19" s="16"/>
      <c r="F19" s="16"/>
      <c r="G19" s="17"/>
      <c r="H19" s="16"/>
      <c r="I19" s="16"/>
      <c r="J19" s="16"/>
      <c r="K19" s="16"/>
      <c r="L19" s="17"/>
      <c r="M19" s="16"/>
      <c r="N19" s="16"/>
      <c r="O19" s="16"/>
      <c r="P19" s="16"/>
      <c r="Q19" s="17"/>
      <c r="R19" s="16"/>
      <c r="S19" s="16"/>
      <c r="T19" s="18" t="n">
        <v>1</v>
      </c>
      <c r="U19" s="16"/>
      <c r="V19" s="17"/>
      <c r="W19" s="16"/>
      <c r="X19" s="19" t="n">
        <f aca="false">COUNTIF(B19:W19,1)+COUNTIF(B19:W19,"IC")</f>
        <v>1</v>
      </c>
      <c r="Y19" s="16" t="str">
        <f aca="false">IF(COUNTIF(B19:W19,"M")&gt;0,"N/A absence longue",IF(X19&gt;=2,"Atteint","Sous objectif"))</f>
        <v>Sous objectif</v>
      </c>
    </row>
    <row r="20" customFormat="false" ht="18" hidden="false" customHeight="true" outlineLevel="0" collapsed="false">
      <c r="A20" s="15" t="s">
        <v>91</v>
      </c>
      <c r="B20" s="18" t="n">
        <v>1</v>
      </c>
      <c r="C20" s="16"/>
      <c r="D20" s="16"/>
      <c r="E20" s="16"/>
      <c r="F20" s="16"/>
      <c r="G20" s="24" t="n">
        <v>1</v>
      </c>
      <c r="H20" s="16"/>
      <c r="I20" s="16"/>
      <c r="J20" s="16"/>
      <c r="K20" s="16"/>
      <c r="L20" s="17"/>
      <c r="M20" s="16"/>
      <c r="N20" s="18" t="n">
        <v>1</v>
      </c>
      <c r="O20" s="16"/>
      <c r="P20" s="16"/>
      <c r="Q20" s="17"/>
      <c r="R20" s="16"/>
      <c r="S20" s="16"/>
      <c r="T20" s="18" t="n">
        <v>1</v>
      </c>
      <c r="U20" s="16"/>
      <c r="V20" s="17"/>
      <c r="W20" s="16"/>
      <c r="X20" s="19" t="n">
        <f aca="false">COUNTIF(B20:W20,1)+COUNTIF(B20:W20,"IC")</f>
        <v>4</v>
      </c>
      <c r="Y20" s="16" t="str">
        <f aca="false">IF(COUNTIF(B20:W20,"M")&gt;0,"N/A absence longue",IF(X20&gt;=2,"Atteint","Sous objectif"))</f>
        <v>Atteint</v>
      </c>
    </row>
    <row r="21" customFormat="false" ht="18" hidden="false" customHeight="true" outlineLevel="0" collapsed="false">
      <c r="A21" s="15" t="s">
        <v>83</v>
      </c>
      <c r="B21" s="16"/>
      <c r="C21" s="16"/>
      <c r="D21" s="16"/>
      <c r="E21" s="16"/>
      <c r="F21" s="18" t="n">
        <v>1</v>
      </c>
      <c r="G21" s="17"/>
      <c r="H21" s="16"/>
      <c r="I21" s="16"/>
      <c r="J21" s="16"/>
      <c r="K21" s="16"/>
      <c r="L21" s="17"/>
      <c r="M21" s="18" t="n">
        <v>1</v>
      </c>
      <c r="N21" s="16"/>
      <c r="O21" s="18" t="n">
        <v>1</v>
      </c>
      <c r="P21" s="16"/>
      <c r="Q21" s="17"/>
      <c r="R21" s="16"/>
      <c r="S21" s="16"/>
      <c r="T21" s="18" t="n">
        <v>1</v>
      </c>
      <c r="U21" s="16"/>
      <c r="V21" s="17"/>
      <c r="W21" s="16"/>
      <c r="X21" s="19" t="n">
        <f aca="false">COUNTIF(B21:W21,1)+COUNTIF(B21:W21,"IC")</f>
        <v>4</v>
      </c>
      <c r="Y21" s="16" t="str">
        <f aca="false">IF(COUNTIF(B21:W21,"M")&gt;0,"N/A absence longue",IF(X21&gt;=2,"Atteint","Sous objectif"))</f>
        <v>Atteint</v>
      </c>
    </row>
    <row r="22" customFormat="false" ht="18" hidden="false" customHeight="true" outlineLevel="0" collapsed="false">
      <c r="A22" s="15" t="s">
        <v>84</v>
      </c>
      <c r="B22" s="16"/>
      <c r="C22" s="16"/>
      <c r="D22" s="16"/>
      <c r="E22" s="16"/>
      <c r="F22" s="16"/>
      <c r="G22" s="17"/>
      <c r="H22" s="16"/>
      <c r="I22" s="16"/>
      <c r="J22" s="16"/>
      <c r="K22" s="16"/>
      <c r="L22" s="17"/>
      <c r="M22" s="18" t="n">
        <v>1</v>
      </c>
      <c r="N22" s="16"/>
      <c r="O22" s="16"/>
      <c r="P22" s="16"/>
      <c r="Q22" s="17"/>
      <c r="R22" s="16"/>
      <c r="S22" s="16"/>
      <c r="T22" s="16"/>
      <c r="U22" s="16"/>
      <c r="V22" s="17"/>
      <c r="W22" s="16"/>
      <c r="X22" s="19" t="n">
        <f aca="false">COUNTIF(B22:W22,1)+COUNTIF(B22:W22,"IC")</f>
        <v>1</v>
      </c>
      <c r="Y22" s="16" t="str">
        <f aca="false">IF(COUNTIF(B22:W22,"M")&gt;0,"N/A absence longue",IF(X22&gt;=2,"Atteint","Sous objectif"))</f>
        <v>Sous objectif</v>
      </c>
    </row>
    <row r="23" customFormat="false" ht="18" hidden="false" customHeight="true" outlineLevel="0" collapsed="false">
      <c r="A23" s="15" t="s">
        <v>80</v>
      </c>
      <c r="B23" s="16"/>
      <c r="C23" s="16"/>
      <c r="D23" s="16"/>
      <c r="E23" s="16"/>
      <c r="F23" s="16"/>
      <c r="G23" s="17"/>
      <c r="H23" s="16"/>
      <c r="I23" s="16"/>
      <c r="J23" s="16"/>
      <c r="K23" s="16"/>
      <c r="L23" s="17"/>
      <c r="M23" s="16"/>
      <c r="N23" s="16"/>
      <c r="O23" s="16"/>
      <c r="P23" s="16"/>
      <c r="Q23" s="17"/>
      <c r="R23" s="16"/>
      <c r="S23" s="16"/>
      <c r="T23" s="18" t="n">
        <v>1</v>
      </c>
      <c r="U23" s="16"/>
      <c r="V23" s="17"/>
      <c r="W23" s="16"/>
      <c r="X23" s="19" t="n">
        <f aca="false">COUNTIF(B23:W23,1)+COUNTIF(B23:W23,"IC")</f>
        <v>1</v>
      </c>
      <c r="Y23" s="16" t="str">
        <f aca="false">IF(COUNTIF(B23:W23,"M")&gt;0,"N/A absence longue",IF(X23&gt;=2,"Atteint","Sous objectif"))</f>
        <v>Sous objectif</v>
      </c>
    </row>
    <row r="24" customFormat="false" ht="18" hidden="false" customHeight="true" outlineLevel="0" collapsed="false">
      <c r="A24" s="15" t="s">
        <v>87</v>
      </c>
      <c r="B24" s="16"/>
      <c r="C24" s="16"/>
      <c r="D24" s="16"/>
      <c r="E24" s="16"/>
      <c r="F24" s="16"/>
      <c r="G24" s="17"/>
      <c r="H24" s="16"/>
      <c r="I24" s="16"/>
      <c r="J24" s="16"/>
      <c r="K24" s="16"/>
      <c r="L24" s="17"/>
      <c r="M24" s="16"/>
      <c r="N24" s="16"/>
      <c r="O24" s="16"/>
      <c r="P24" s="16"/>
      <c r="Q24" s="17"/>
      <c r="R24" s="18" t="n">
        <v>1</v>
      </c>
      <c r="S24" s="16"/>
      <c r="T24" s="18" t="n">
        <v>1</v>
      </c>
      <c r="U24" s="16"/>
      <c r="V24" s="24" t="n">
        <v>1</v>
      </c>
      <c r="W24" s="18" t="n">
        <v>1</v>
      </c>
      <c r="X24" s="19" t="n">
        <f aca="false">COUNTIF(B24:W24,1)+COUNTIF(B24:W24,"IC")</f>
        <v>4</v>
      </c>
      <c r="Y24" s="16" t="str">
        <f aca="false">IF(COUNTIF(B24:W24,"M")&gt;0,"N/A absence longue",IF(X24&gt;=2,"Atteint","Sous objectif"))</f>
        <v>Atteint</v>
      </c>
    </row>
    <row r="25" customFormat="false" ht="18" hidden="false" customHeight="true" outlineLevel="0" collapsed="false">
      <c r="A25" s="15" t="s">
        <v>90</v>
      </c>
      <c r="B25" s="16"/>
      <c r="C25" s="16"/>
      <c r="D25" s="16"/>
      <c r="E25" s="16"/>
      <c r="F25" s="16"/>
      <c r="G25" s="17"/>
      <c r="H25" s="16"/>
      <c r="I25" s="16"/>
      <c r="J25" s="16"/>
      <c r="K25" s="16"/>
      <c r="L25" s="17"/>
      <c r="M25" s="16"/>
      <c r="N25" s="16"/>
      <c r="O25" s="16"/>
      <c r="P25" s="16"/>
      <c r="Q25" s="17"/>
      <c r="R25" s="16"/>
      <c r="S25" s="16"/>
      <c r="T25" s="18" t="n">
        <v>1</v>
      </c>
      <c r="U25" s="16"/>
      <c r="V25" s="17"/>
      <c r="W25" s="16"/>
      <c r="X25" s="19" t="n">
        <f aca="false">COUNTIF(B25:W25,1)+COUNTIF(B25:W25,"IC")</f>
        <v>1</v>
      </c>
      <c r="Y25" s="16" t="str">
        <f aca="false">IF(COUNTIF(B25:W25,"M")&gt;0,"N/A absence longue",IF(X25&gt;=2,"Atteint","Sous objectif"))</f>
        <v>Sous objectif</v>
      </c>
    </row>
    <row r="26" customFormat="false" ht="18" hidden="false" customHeight="true" outlineLevel="0" collapsed="false">
      <c r="A26" s="15" t="s">
        <v>98</v>
      </c>
      <c r="B26" s="16"/>
      <c r="C26" s="16"/>
      <c r="D26" s="16"/>
      <c r="E26" s="16"/>
      <c r="F26" s="16"/>
      <c r="G26" s="17"/>
      <c r="H26" s="16"/>
      <c r="I26" s="16"/>
      <c r="J26" s="16"/>
      <c r="K26" s="16"/>
      <c r="L26" s="17"/>
      <c r="M26" s="16"/>
      <c r="N26" s="16"/>
      <c r="O26" s="16"/>
      <c r="P26" s="16"/>
      <c r="Q26" s="17"/>
      <c r="R26" s="16"/>
      <c r="S26" s="16"/>
      <c r="T26" s="16"/>
      <c r="U26" s="16"/>
      <c r="V26" s="17"/>
      <c r="W26" s="16"/>
      <c r="X26" s="19" t="n">
        <f aca="false">COUNTIF(B26:W26,1)+COUNTIF(B26:W26,"IC")</f>
        <v>0</v>
      </c>
      <c r="Y26" s="16" t="str">
        <f aca="false">IF(COUNTIF(B26:W26,"M")&gt;0,"N/A absence longue",IF(X26&gt;=2,"Atteint","Sous objectif"))</f>
        <v>Sous objectif</v>
      </c>
    </row>
    <row r="27" customFormat="false" ht="18" hidden="false" customHeight="true" outlineLevel="0" collapsed="false">
      <c r="A27" s="15" t="s">
        <v>99</v>
      </c>
      <c r="B27" s="16"/>
      <c r="C27" s="16"/>
      <c r="D27" s="16"/>
      <c r="E27" s="16"/>
      <c r="F27" s="16"/>
      <c r="G27" s="17"/>
      <c r="H27" s="16"/>
      <c r="I27" s="16"/>
      <c r="J27" s="16"/>
      <c r="K27" s="16"/>
      <c r="L27" s="17"/>
      <c r="M27" s="16"/>
      <c r="N27" s="16"/>
      <c r="O27" s="18" t="n">
        <v>1</v>
      </c>
      <c r="P27" s="16"/>
      <c r="Q27" s="17"/>
      <c r="R27" s="16"/>
      <c r="S27" s="16"/>
      <c r="T27" s="18" t="n">
        <v>1</v>
      </c>
      <c r="U27" s="16"/>
      <c r="V27" s="17"/>
      <c r="W27" s="16"/>
      <c r="X27" s="19" t="n">
        <f aca="false">COUNTIF(B27:W27,1)+COUNTIF(B27:W27,"IC")</f>
        <v>2</v>
      </c>
      <c r="Y27" s="16" t="str">
        <f aca="false">IF(COUNTIF(B27:W27,"M")&gt;0,"N/A absence longue",IF(X27&gt;=2,"Atteint","Sous objectif"))</f>
        <v>Atteint</v>
      </c>
    </row>
    <row r="28" customFormat="false" ht="18" hidden="false" customHeight="true" outlineLevel="0" collapsed="false">
      <c r="A28" s="15" t="s">
        <v>96</v>
      </c>
      <c r="B28" s="16"/>
      <c r="C28" s="16"/>
      <c r="D28" s="16"/>
      <c r="E28" s="16"/>
      <c r="F28" s="16"/>
      <c r="G28" s="17"/>
      <c r="H28" s="16"/>
      <c r="I28" s="18" t="n">
        <v>1</v>
      </c>
      <c r="J28" s="16"/>
      <c r="K28" s="16"/>
      <c r="L28" s="17"/>
      <c r="M28" s="18" t="n">
        <v>1</v>
      </c>
      <c r="N28" s="16"/>
      <c r="O28" s="16"/>
      <c r="P28" s="16"/>
      <c r="Q28" s="17"/>
      <c r="R28" s="18" t="n">
        <v>1</v>
      </c>
      <c r="S28" s="16"/>
      <c r="T28" s="16"/>
      <c r="U28" s="16"/>
      <c r="V28" s="17"/>
      <c r="W28" s="18" t="n">
        <v>1</v>
      </c>
      <c r="X28" s="19" t="n">
        <f aca="false">COUNTIF(B28:W28,1)+COUNTIF(B28:W28,"IC")</f>
        <v>4</v>
      </c>
      <c r="Y28" s="16" t="str">
        <f aca="false">IF(COUNTIF(B28:W28,"M")&gt;0,"N/A absence longue",IF(X28&gt;=2,"Atteint","Sous objectif"))</f>
        <v>Atteint</v>
      </c>
    </row>
    <row r="29" customFormat="false" ht="18" hidden="false" customHeight="true" outlineLevel="0" collapsed="false">
      <c r="A29" s="15" t="s">
        <v>79</v>
      </c>
      <c r="B29" s="16"/>
      <c r="C29" s="16"/>
      <c r="D29" s="16"/>
      <c r="E29" s="16"/>
      <c r="F29" s="16"/>
      <c r="G29" s="17"/>
      <c r="H29" s="16"/>
      <c r="I29" s="16"/>
      <c r="J29" s="16"/>
      <c r="K29" s="16"/>
      <c r="L29" s="17"/>
      <c r="M29" s="18" t="n">
        <v>1</v>
      </c>
      <c r="N29" s="16"/>
      <c r="O29" s="16"/>
      <c r="P29" s="16"/>
      <c r="Q29" s="17"/>
      <c r="R29" s="18" t="n">
        <v>1</v>
      </c>
      <c r="S29" s="16"/>
      <c r="T29" s="18" t="n">
        <v>1</v>
      </c>
      <c r="U29" s="16"/>
      <c r="V29" s="17"/>
      <c r="W29" s="16"/>
      <c r="X29" s="19" t="n">
        <f aca="false">COUNTIF(B29:W29,1)+COUNTIF(B29:W29,"IC")</f>
        <v>3</v>
      </c>
      <c r="Y29" s="16" t="str">
        <f aca="false">IF(COUNTIF(B29:W29,"M")&gt;0,"N/A absence longue",IF(X29&gt;=2,"Atteint","Sous objectif"))</f>
        <v>Atteint</v>
      </c>
    </row>
    <row r="31" customFormat="false" ht="15.75" hidden="false" customHeight="true" outlineLevel="0" collapsed="false">
      <c r="A31" s="25" t="s">
        <v>129</v>
      </c>
    </row>
    <row r="32" customFormat="false" ht="15.75" hidden="false" customHeight="true" outlineLevel="0" collapsed="false">
      <c r="A32" s="26" t="s">
        <v>119</v>
      </c>
      <c r="B32" s="16"/>
      <c r="C32" s="16"/>
      <c r="D32" s="16"/>
      <c r="E32" s="16"/>
      <c r="F32" s="16"/>
      <c r="G32" s="17"/>
      <c r="H32" s="16"/>
      <c r="I32" s="16"/>
      <c r="J32" s="16"/>
      <c r="K32" s="16"/>
      <c r="L32" s="17"/>
      <c r="M32" s="16"/>
      <c r="N32" s="16"/>
      <c r="O32" s="16"/>
      <c r="P32" s="16"/>
      <c r="Q32" s="17"/>
      <c r="R32" s="16"/>
      <c r="S32" s="16"/>
      <c r="T32" s="27" t="s">
        <v>18</v>
      </c>
      <c r="U32" s="16"/>
      <c r="V32" s="17"/>
      <c r="W32" s="16"/>
    </row>
    <row r="33" customFormat="false" ht="15.75" hidden="false" customHeight="true" outlineLevel="0" collapsed="false">
      <c r="A33" s="26" t="s">
        <v>117</v>
      </c>
      <c r="B33" s="16"/>
      <c r="C33" s="16"/>
      <c r="D33" s="16"/>
      <c r="E33" s="16"/>
      <c r="F33" s="16"/>
      <c r="G33" s="17"/>
      <c r="H33" s="16"/>
      <c r="I33" s="16"/>
      <c r="J33" s="16"/>
      <c r="K33" s="16"/>
      <c r="L33" s="17"/>
      <c r="M33" s="16"/>
      <c r="N33" s="16"/>
      <c r="O33" s="16"/>
      <c r="P33" s="16"/>
      <c r="Q33" s="17"/>
      <c r="R33" s="16"/>
      <c r="S33" s="16"/>
      <c r="T33" s="16"/>
      <c r="U33" s="16"/>
      <c r="V33" s="17"/>
      <c r="W33" s="16"/>
    </row>
    <row r="34" customFormat="false" ht="15.75" hidden="false" customHeight="true" outlineLevel="0" collapsed="false">
      <c r="A34" s="26" t="s">
        <v>130</v>
      </c>
      <c r="B34" s="16"/>
      <c r="C34" s="16"/>
      <c r="D34" s="16"/>
      <c r="E34" s="16"/>
      <c r="F34" s="16"/>
      <c r="G34" s="17"/>
      <c r="H34" s="16"/>
      <c r="I34" s="16"/>
      <c r="J34" s="16"/>
      <c r="K34" s="16"/>
      <c r="L34" s="17"/>
      <c r="M34" s="16"/>
      <c r="N34" s="16"/>
      <c r="O34" s="16"/>
      <c r="P34" s="16"/>
      <c r="Q34" s="17"/>
      <c r="R34" s="16"/>
      <c r="S34" s="16"/>
      <c r="T34" s="16"/>
      <c r="U34" s="16"/>
      <c r="V34" s="17"/>
      <c r="W34" s="16"/>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9" t="s">
        <v>132</v>
      </c>
      <c r="B1" s="9"/>
      <c r="C1" s="9"/>
      <c r="D1" s="9"/>
      <c r="E1" s="9"/>
      <c r="F1" s="9"/>
      <c r="G1" s="9"/>
      <c r="H1" s="9"/>
      <c r="I1" s="9"/>
      <c r="J1" s="9"/>
      <c r="K1" s="9"/>
      <c r="L1" s="9"/>
      <c r="M1" s="9"/>
      <c r="N1" s="9"/>
      <c r="O1" s="9"/>
      <c r="P1" s="9"/>
      <c r="Q1" s="9"/>
      <c r="R1" s="9"/>
      <c r="S1" s="9"/>
      <c r="T1" s="9"/>
      <c r="U1" s="9"/>
      <c r="V1" s="9"/>
      <c r="W1" s="9"/>
      <c r="X1" s="9"/>
      <c r="Y1" s="9"/>
    </row>
    <row r="3" customFormat="false" ht="21.75" hidden="false" customHeight="true" outlineLevel="0" collapsed="false">
      <c r="A3" s="10" t="s">
        <v>74</v>
      </c>
      <c r="B3" s="11" t="n">
        <v>46113</v>
      </c>
      <c r="C3" s="11" t="n">
        <v>46114</v>
      </c>
      <c r="D3" s="11" t="n">
        <v>46115</v>
      </c>
      <c r="E3" s="12" t="n">
        <v>46118</v>
      </c>
      <c r="F3" s="11" t="n">
        <v>46119</v>
      </c>
      <c r="G3" s="11" t="n">
        <v>46120</v>
      </c>
      <c r="H3" s="11" t="n">
        <v>46121</v>
      </c>
      <c r="I3" s="11" t="n">
        <v>46122</v>
      </c>
      <c r="J3" s="12" t="n">
        <v>46125</v>
      </c>
      <c r="K3" s="11" t="n">
        <v>46126</v>
      </c>
      <c r="L3" s="11" t="n">
        <v>46127</v>
      </c>
      <c r="M3" s="11" t="n">
        <v>46128</v>
      </c>
      <c r="N3" s="11" t="n">
        <v>46129</v>
      </c>
      <c r="O3" s="12" t="n">
        <v>46132</v>
      </c>
      <c r="P3" s="11" t="n">
        <v>46133</v>
      </c>
      <c r="Q3" s="11" t="n">
        <v>46134</v>
      </c>
      <c r="R3" s="11" t="n">
        <v>46135</v>
      </c>
      <c r="S3" s="11" t="n">
        <v>46136</v>
      </c>
      <c r="T3" s="12" t="n">
        <v>46139</v>
      </c>
      <c r="U3" s="11" t="n">
        <v>46140</v>
      </c>
      <c r="V3" s="11" t="n">
        <v>46141</v>
      </c>
      <c r="W3" s="11" t="n">
        <v>46142</v>
      </c>
      <c r="X3" s="13" t="s">
        <v>127</v>
      </c>
      <c r="Y3" s="14" t="s">
        <v>128</v>
      </c>
    </row>
    <row r="4" customFormat="false" ht="18" hidden="false" customHeight="true" outlineLevel="0" collapsed="false">
      <c r="A4" s="15" t="s">
        <v>88</v>
      </c>
      <c r="B4" s="16"/>
      <c r="C4" s="16"/>
      <c r="D4" s="16"/>
      <c r="E4" s="17"/>
      <c r="F4" s="16"/>
      <c r="G4" s="16"/>
      <c r="H4" s="16"/>
      <c r="I4" s="16"/>
      <c r="J4" s="17"/>
      <c r="K4" s="16"/>
      <c r="L4" s="16"/>
      <c r="M4" s="16"/>
      <c r="N4" s="16"/>
      <c r="O4" s="17"/>
      <c r="P4" s="16"/>
      <c r="Q4" s="16"/>
      <c r="R4" s="18" t="n">
        <v>1</v>
      </c>
      <c r="S4" s="16"/>
      <c r="T4" s="17"/>
      <c r="U4" s="16" t="n">
        <v>1</v>
      </c>
      <c r="V4" s="16"/>
      <c r="W4" s="16"/>
      <c r="X4" s="19" t="n">
        <f aca="false">COUNTIF(B4:W4,1)+COUNTIF(B4:W4,"IC")</f>
        <v>2</v>
      </c>
      <c r="Y4" s="16" t="str">
        <f aca="false">IF(COUNTIF(B4:W4,"M")&gt;0,"N/A absence longue",IF(X4&gt;=2,"Atteint","Sous objectif"))</f>
        <v>Atteint</v>
      </c>
    </row>
    <row r="5" customFormat="false" ht="18" hidden="false" customHeight="true" outlineLevel="0" collapsed="false">
      <c r="A5" s="15" t="s">
        <v>103</v>
      </c>
      <c r="B5" s="16"/>
      <c r="C5" s="22" t="s">
        <v>9</v>
      </c>
      <c r="D5" s="16"/>
      <c r="E5" s="17"/>
      <c r="F5" s="22" t="s">
        <v>9</v>
      </c>
      <c r="G5" s="16"/>
      <c r="H5" s="22" t="s">
        <v>9</v>
      </c>
      <c r="I5" s="16"/>
      <c r="J5" s="23" t="s">
        <v>9</v>
      </c>
      <c r="K5" s="22" t="s">
        <v>9</v>
      </c>
      <c r="L5" s="16"/>
      <c r="M5" s="22" t="s">
        <v>9</v>
      </c>
      <c r="N5" s="16"/>
      <c r="O5" s="23" t="s">
        <v>9</v>
      </c>
      <c r="P5" s="16"/>
      <c r="Q5" s="16"/>
      <c r="R5" s="22" t="s">
        <v>9</v>
      </c>
      <c r="S5" s="16"/>
      <c r="T5" s="17" t="s">
        <v>9</v>
      </c>
      <c r="U5" s="16" t="s">
        <v>9</v>
      </c>
      <c r="V5" s="16"/>
      <c r="W5" s="16" t="s">
        <v>9</v>
      </c>
      <c r="X5" s="19" t="n">
        <f aca="false">COUNTIF(B5:W5,1)+COUNTIF(B5:W5,"IC")</f>
        <v>11</v>
      </c>
      <c r="Y5" s="16" t="str">
        <f aca="false">IF(COUNTIF(B5:W5,"M")&gt;0,"N/A absence longue",IF(X5&gt;=2,"Atteint","Sous objectif"))</f>
        <v>Atteint</v>
      </c>
    </row>
    <row r="6" customFormat="false" ht="18" hidden="false" customHeight="true" outlineLevel="0" collapsed="false">
      <c r="A6" s="15" t="s">
        <v>85</v>
      </c>
      <c r="B6" s="16"/>
      <c r="C6" s="16"/>
      <c r="D6" s="16"/>
      <c r="E6" s="17"/>
      <c r="F6" s="16"/>
      <c r="G6" s="16"/>
      <c r="H6" s="16"/>
      <c r="I6" s="16"/>
      <c r="J6" s="17"/>
      <c r="K6" s="16"/>
      <c r="L6" s="16"/>
      <c r="M6" s="16"/>
      <c r="N6" s="16"/>
      <c r="O6" s="17"/>
      <c r="P6" s="16"/>
      <c r="Q6" s="16"/>
      <c r="R6" s="18" t="n">
        <v>1</v>
      </c>
      <c r="S6" s="16"/>
      <c r="T6" s="17"/>
      <c r="U6" s="16"/>
      <c r="V6" s="16"/>
      <c r="W6" s="16"/>
      <c r="X6" s="19" t="n">
        <f aca="false">COUNTIF(B6:W6,1)+COUNTIF(B6:W6,"IC")</f>
        <v>1</v>
      </c>
      <c r="Y6" s="16" t="str">
        <f aca="false">IF(COUNTIF(B6:W6,"M")&gt;0,"N/A absence longue",IF(X6&gt;=2,"Atteint","Sous objectif"))</f>
        <v>Sous objectif</v>
      </c>
    </row>
    <row r="7" customFormat="false" ht="18" hidden="false" customHeight="true" outlineLevel="0" collapsed="false">
      <c r="A7" s="15" t="s">
        <v>95</v>
      </c>
      <c r="B7" s="16"/>
      <c r="C7" s="16"/>
      <c r="D7" s="16"/>
      <c r="E7" s="17"/>
      <c r="F7" s="16"/>
      <c r="G7" s="16"/>
      <c r="H7" s="16"/>
      <c r="I7" s="16"/>
      <c r="J7" s="17"/>
      <c r="K7" s="18" t="n">
        <v>1</v>
      </c>
      <c r="L7" s="16"/>
      <c r="M7" s="18" t="n">
        <v>1</v>
      </c>
      <c r="N7" s="16"/>
      <c r="O7" s="17"/>
      <c r="P7" s="16"/>
      <c r="Q7" s="16"/>
      <c r="R7" s="18" t="n">
        <v>1</v>
      </c>
      <c r="S7" s="16"/>
      <c r="T7" s="17"/>
      <c r="U7" s="16" t="n">
        <v>1</v>
      </c>
      <c r="V7" s="16"/>
      <c r="W7" s="16"/>
      <c r="X7" s="19" t="n">
        <f aca="false">COUNTIF(B7:W7,1)+COUNTIF(B7:W7,"IC")</f>
        <v>4</v>
      </c>
      <c r="Y7" s="16" t="str">
        <f aca="false">IF(COUNTIF(B7:W7,"M")&gt;0,"N/A absence longue",IF(X7&gt;=2,"Atteint","Sous objectif"))</f>
        <v>Atteint</v>
      </c>
    </row>
    <row r="8" customFormat="false" ht="18" hidden="false" customHeight="true" outlineLevel="0" collapsed="false">
      <c r="A8" s="15" t="s">
        <v>94</v>
      </c>
      <c r="B8" s="16"/>
      <c r="C8" s="22" t="s">
        <v>9</v>
      </c>
      <c r="D8" s="16"/>
      <c r="E8" s="17"/>
      <c r="F8" s="22" t="s">
        <v>9</v>
      </c>
      <c r="G8" s="16"/>
      <c r="H8" s="22" t="s">
        <v>9</v>
      </c>
      <c r="I8" s="16"/>
      <c r="J8" s="23" t="s">
        <v>9</v>
      </c>
      <c r="K8" s="22" t="s">
        <v>9</v>
      </c>
      <c r="L8" s="16"/>
      <c r="M8" s="22" t="s">
        <v>9</v>
      </c>
      <c r="N8" s="16"/>
      <c r="O8" s="23" t="s">
        <v>9</v>
      </c>
      <c r="P8" s="22" t="s">
        <v>9</v>
      </c>
      <c r="Q8" s="16"/>
      <c r="R8" s="22" t="s">
        <v>9</v>
      </c>
      <c r="S8" s="16"/>
      <c r="T8" s="17" t="s">
        <v>9</v>
      </c>
      <c r="U8" s="16" t="s">
        <v>9</v>
      </c>
      <c r="V8" s="16"/>
      <c r="W8" s="16" t="s">
        <v>9</v>
      </c>
      <c r="X8" s="19" t="n">
        <f aca="false">COUNTIF(B8:W8,1)+COUNTIF(B8:W8,"IC")</f>
        <v>12</v>
      </c>
      <c r="Y8" s="16" t="str">
        <f aca="false">IF(COUNTIF(B8:W8,"M")&gt;0,"N/A absence longue",IF(X8&gt;=2,"Atteint","Sous objectif"))</f>
        <v>Atteint</v>
      </c>
    </row>
    <row r="9" customFormat="false" ht="18" hidden="false" customHeight="true" outlineLevel="0" collapsed="false">
      <c r="A9" s="15" t="s">
        <v>82</v>
      </c>
      <c r="B9" s="16"/>
      <c r="C9" s="16"/>
      <c r="D9" s="16"/>
      <c r="E9" s="17"/>
      <c r="F9" s="18" t="n">
        <v>1</v>
      </c>
      <c r="G9" s="16"/>
      <c r="H9" s="16"/>
      <c r="I9" s="16"/>
      <c r="J9" s="17"/>
      <c r="K9" s="16"/>
      <c r="L9" s="16"/>
      <c r="M9" s="16"/>
      <c r="N9" s="16"/>
      <c r="O9" s="17"/>
      <c r="P9" s="16"/>
      <c r="Q9" s="16"/>
      <c r="R9" s="18" t="n">
        <v>1</v>
      </c>
      <c r="S9" s="16"/>
      <c r="T9" s="17"/>
      <c r="U9" s="16"/>
      <c r="V9" s="16"/>
      <c r="W9" s="16"/>
      <c r="X9" s="19" t="n">
        <f aca="false">COUNTIF(B9:W9,1)+COUNTIF(B9:W9,"IC")</f>
        <v>2</v>
      </c>
      <c r="Y9" s="16" t="str">
        <f aca="false">IF(COUNTIF(B9:W9,"M")&gt;0,"N/A absence longue",IF(X9&gt;=2,"Atteint","Sous objectif"))</f>
        <v>Atteint</v>
      </c>
    </row>
    <row r="10" customFormat="false" ht="18" hidden="false" customHeight="true" outlineLevel="0" collapsed="false">
      <c r="A10" s="15" t="s">
        <v>97</v>
      </c>
      <c r="B10" s="16"/>
      <c r="C10" s="16"/>
      <c r="D10" s="16"/>
      <c r="E10" s="17"/>
      <c r="F10" s="16"/>
      <c r="G10" s="16"/>
      <c r="H10" s="18" t="n">
        <v>1</v>
      </c>
      <c r="I10" s="16"/>
      <c r="J10" s="17"/>
      <c r="K10" s="18" t="n">
        <v>1</v>
      </c>
      <c r="L10" s="16"/>
      <c r="M10" s="18" t="n">
        <v>1</v>
      </c>
      <c r="N10" s="16"/>
      <c r="O10" s="17"/>
      <c r="P10" s="16"/>
      <c r="Q10" s="16"/>
      <c r="R10" s="18" t="n">
        <v>1</v>
      </c>
      <c r="S10" s="16"/>
      <c r="T10" s="17"/>
      <c r="U10" s="16" t="n">
        <v>1</v>
      </c>
      <c r="V10" s="16"/>
      <c r="W10" s="16" t="n">
        <v>1</v>
      </c>
      <c r="X10" s="19" t="n">
        <f aca="false">COUNTIF(B10:W10,1)+COUNTIF(B10:W10,"IC")</f>
        <v>6</v>
      </c>
      <c r="Y10" s="16" t="str">
        <f aca="false">IF(COUNTIF(B10:W10,"M")&gt;0,"N/A absence longue",IF(X10&gt;=2,"Atteint","Sous objectif"))</f>
        <v>Atteint</v>
      </c>
    </row>
    <row r="11" customFormat="false" ht="18" hidden="false" customHeight="true" outlineLevel="0" collapsed="false">
      <c r="A11" s="15" t="s">
        <v>93</v>
      </c>
      <c r="B11" s="16"/>
      <c r="C11" s="18" t="n">
        <v>1</v>
      </c>
      <c r="D11" s="16"/>
      <c r="E11" s="17"/>
      <c r="F11" s="16"/>
      <c r="G11" s="16"/>
      <c r="H11" s="16"/>
      <c r="I11" s="16"/>
      <c r="J11" s="17"/>
      <c r="K11" s="16"/>
      <c r="L11" s="16"/>
      <c r="M11" s="16"/>
      <c r="N11" s="16"/>
      <c r="O11" s="17"/>
      <c r="P11" s="16"/>
      <c r="Q11" s="16"/>
      <c r="R11" s="18" t="n">
        <v>1</v>
      </c>
      <c r="S11" s="16"/>
      <c r="T11" s="17"/>
      <c r="U11" s="16"/>
      <c r="V11" s="16"/>
      <c r="W11" s="16"/>
      <c r="X11" s="19" t="n">
        <f aca="false">COUNTIF(B11:W11,1)+COUNTIF(B11:W11,"IC")</f>
        <v>2</v>
      </c>
      <c r="Y11" s="16" t="str">
        <f aca="false">IF(COUNTIF(B11:W11,"M")&gt;0,"N/A absence longue",IF(X11&gt;=2,"Atteint","Sous objectif"))</f>
        <v>Atteint</v>
      </c>
    </row>
    <row r="12" customFormat="false" ht="18" hidden="false" customHeight="true" outlineLevel="0" collapsed="false">
      <c r="A12" s="15" t="s">
        <v>81</v>
      </c>
      <c r="B12" s="16"/>
      <c r="C12" s="16"/>
      <c r="D12" s="16"/>
      <c r="E12" s="17"/>
      <c r="F12" s="16"/>
      <c r="G12" s="16"/>
      <c r="H12" s="16"/>
      <c r="I12" s="16"/>
      <c r="J12" s="17"/>
      <c r="K12" s="16"/>
      <c r="L12" s="16"/>
      <c r="M12" s="16"/>
      <c r="N12" s="16"/>
      <c r="O12" s="17"/>
      <c r="P12" s="16"/>
      <c r="Q12" s="16"/>
      <c r="R12" s="18" t="n">
        <v>1</v>
      </c>
      <c r="S12" s="16"/>
      <c r="T12" s="17"/>
      <c r="U12" s="16"/>
      <c r="V12" s="16"/>
      <c r="W12" s="16"/>
      <c r="X12" s="19" t="n">
        <f aca="false">COUNTIF(B12:W12,1)+COUNTIF(B12:W12,"IC")</f>
        <v>1</v>
      </c>
      <c r="Y12" s="16" t="str">
        <f aca="false">IF(COUNTIF(B12:W12,"M")&gt;0,"N/A absence longue",IF(X12&gt;=2,"Atteint","Sous objectif"))</f>
        <v>Sous objectif</v>
      </c>
    </row>
    <row r="13" customFormat="false" ht="18" hidden="false" customHeight="true" outlineLevel="0" collapsed="false">
      <c r="A13" s="15" t="s">
        <v>78</v>
      </c>
      <c r="B13" s="16"/>
      <c r="C13" s="16"/>
      <c r="D13" s="16"/>
      <c r="E13" s="17"/>
      <c r="F13" s="18" t="n">
        <v>1</v>
      </c>
      <c r="G13" s="16"/>
      <c r="H13" s="16"/>
      <c r="I13" s="16"/>
      <c r="J13" s="17"/>
      <c r="K13" s="16"/>
      <c r="L13" s="16"/>
      <c r="M13" s="16"/>
      <c r="N13" s="16"/>
      <c r="O13" s="17"/>
      <c r="P13" s="16"/>
      <c r="Q13" s="16"/>
      <c r="R13" s="16"/>
      <c r="S13" s="16"/>
      <c r="T13" s="17"/>
      <c r="U13" s="16"/>
      <c r="V13" s="16"/>
      <c r="W13" s="16"/>
      <c r="X13" s="19" t="n">
        <f aca="false">COUNTIF(B13:W13,1)+COUNTIF(B13:W13,"IC")</f>
        <v>1</v>
      </c>
      <c r="Y13" s="16" t="str">
        <f aca="false">IF(COUNTIF(B13:W13,"M")&gt;0,"N/A absence longue",IF(X13&gt;=2,"Atteint","Sous objectif"))</f>
        <v>Sous objectif</v>
      </c>
    </row>
    <row r="14" customFormat="false" ht="18" hidden="false" customHeight="true" outlineLevel="0" collapsed="false">
      <c r="A14" s="15" t="s">
        <v>101</v>
      </c>
      <c r="B14" s="16"/>
      <c r="C14" s="16"/>
      <c r="D14" s="16"/>
      <c r="E14" s="17"/>
      <c r="F14" s="16"/>
      <c r="G14" s="16"/>
      <c r="H14" s="16"/>
      <c r="I14" s="16"/>
      <c r="J14" s="17"/>
      <c r="K14" s="16"/>
      <c r="L14" s="16"/>
      <c r="M14" s="18" t="n">
        <v>1</v>
      </c>
      <c r="N14" s="16"/>
      <c r="O14" s="17"/>
      <c r="P14" s="16"/>
      <c r="Q14" s="16"/>
      <c r="R14" s="18" t="n">
        <v>1</v>
      </c>
      <c r="S14" s="16"/>
      <c r="T14" s="17"/>
      <c r="U14" s="16"/>
      <c r="V14" s="16"/>
      <c r="W14" s="16"/>
      <c r="X14" s="19" t="n">
        <f aca="false">COUNTIF(B14:W14,1)+COUNTIF(B14:W14,"IC")</f>
        <v>2</v>
      </c>
      <c r="Y14" s="16" t="str">
        <f aca="false">IF(COUNTIF(B14:W14,"M")&gt;0,"N/A absence longue",IF(X14&gt;=2,"Atteint","Sous objectif"))</f>
        <v>Atteint</v>
      </c>
    </row>
    <row r="15" customFormat="false" ht="18" hidden="false" customHeight="true" outlineLevel="0" collapsed="false">
      <c r="A15" s="15" t="s">
        <v>89</v>
      </c>
      <c r="B15" s="16"/>
      <c r="C15" s="16"/>
      <c r="D15" s="16"/>
      <c r="E15" s="17"/>
      <c r="F15" s="16"/>
      <c r="G15" s="16"/>
      <c r="H15" s="16"/>
      <c r="I15" s="16"/>
      <c r="J15" s="24" t="n">
        <v>1</v>
      </c>
      <c r="K15" s="16"/>
      <c r="L15" s="18" t="n">
        <v>1</v>
      </c>
      <c r="M15" s="16"/>
      <c r="N15" s="16"/>
      <c r="O15" s="17"/>
      <c r="P15" s="16"/>
      <c r="Q15" s="16"/>
      <c r="R15" s="18" t="n">
        <v>1</v>
      </c>
      <c r="S15" s="16"/>
      <c r="T15" s="17"/>
      <c r="U15" s="16" t="n">
        <v>1</v>
      </c>
      <c r="V15" s="16"/>
      <c r="W15" s="16"/>
      <c r="X15" s="19" t="n">
        <f aca="false">COUNTIF(B15:W15,1)+COUNTIF(B15:W15,"IC")</f>
        <v>4</v>
      </c>
      <c r="Y15" s="16" t="str">
        <f aca="false">IF(COUNTIF(B15:W15,"M")&gt;0,"N/A absence longue",IF(X15&gt;=2,"Atteint","Sous objectif"))</f>
        <v>Atteint</v>
      </c>
    </row>
    <row r="16" customFormat="false" ht="18" hidden="false" customHeight="true" outlineLevel="0" collapsed="false">
      <c r="A16" s="15" t="s">
        <v>102</v>
      </c>
      <c r="B16" s="16"/>
      <c r="C16" s="16"/>
      <c r="D16" s="16"/>
      <c r="E16" s="17"/>
      <c r="F16" s="18" t="n">
        <v>1</v>
      </c>
      <c r="G16" s="16"/>
      <c r="H16" s="16"/>
      <c r="I16" s="16"/>
      <c r="J16" s="17"/>
      <c r="K16" s="16"/>
      <c r="L16" s="16"/>
      <c r="M16" s="16"/>
      <c r="N16" s="16"/>
      <c r="O16" s="17"/>
      <c r="P16" s="16"/>
      <c r="Q16" s="16"/>
      <c r="R16" s="18" t="n">
        <v>1</v>
      </c>
      <c r="S16" s="16"/>
      <c r="T16" s="17"/>
      <c r="U16" s="16"/>
      <c r="V16" s="16"/>
      <c r="W16" s="16"/>
      <c r="X16" s="19" t="n">
        <f aca="false">COUNTIF(B16:W16,1)+COUNTIF(B16:W16,"IC")</f>
        <v>2</v>
      </c>
      <c r="Y16" s="16" t="str">
        <f aca="false">IF(COUNTIF(B16:W16,"M")&gt;0,"N/A absence longue",IF(X16&gt;=2,"Atteint","Sous objectif"))</f>
        <v>Atteint</v>
      </c>
    </row>
    <row r="17" customFormat="false" ht="18" hidden="false" customHeight="true" outlineLevel="0" collapsed="false">
      <c r="A17" s="15" t="s">
        <v>86</v>
      </c>
      <c r="B17" s="16"/>
      <c r="C17" s="16"/>
      <c r="D17" s="16"/>
      <c r="E17" s="17"/>
      <c r="F17" s="18" t="n">
        <v>1</v>
      </c>
      <c r="G17" s="16"/>
      <c r="H17" s="16"/>
      <c r="I17" s="16"/>
      <c r="J17" s="17"/>
      <c r="K17" s="16"/>
      <c r="L17" s="16"/>
      <c r="M17" s="16"/>
      <c r="N17" s="16"/>
      <c r="O17" s="23" t="s">
        <v>9</v>
      </c>
      <c r="P17" s="16"/>
      <c r="Q17" s="22" t="s">
        <v>9</v>
      </c>
      <c r="R17" s="16"/>
      <c r="S17" s="16"/>
      <c r="T17" s="17"/>
      <c r="U17" s="16"/>
      <c r="V17" s="16"/>
      <c r="W17" s="16"/>
      <c r="X17" s="19" t="n">
        <f aca="false">COUNTIF(B17:W17,1)+COUNTIF(B17:W17,"IC")</f>
        <v>3</v>
      </c>
      <c r="Y17" s="16" t="str">
        <f aca="false">IF(COUNTIF(B17:W17,"M")&gt;0,"N/A absence longue",IF(X17&gt;=2,"Atteint","Sous objectif"))</f>
        <v>Atteint</v>
      </c>
    </row>
    <row r="18" customFormat="false" ht="18" hidden="false" customHeight="true" outlineLevel="0" collapsed="false">
      <c r="A18" s="15" t="s">
        <v>92</v>
      </c>
      <c r="B18" s="16"/>
      <c r="C18" s="16"/>
      <c r="D18" s="16"/>
      <c r="E18" s="17"/>
      <c r="F18" s="18" t="n">
        <v>1</v>
      </c>
      <c r="G18" s="16"/>
      <c r="H18" s="16"/>
      <c r="I18" s="16"/>
      <c r="J18" s="17"/>
      <c r="K18" s="16"/>
      <c r="L18" s="16"/>
      <c r="M18" s="16"/>
      <c r="N18" s="16"/>
      <c r="O18" s="17"/>
      <c r="P18" s="16"/>
      <c r="Q18" s="16"/>
      <c r="R18" s="18" t="n">
        <v>1</v>
      </c>
      <c r="S18" s="16"/>
      <c r="T18" s="17"/>
      <c r="U18" s="16"/>
      <c r="V18" s="16"/>
      <c r="W18" s="16"/>
      <c r="X18" s="19" t="n">
        <f aca="false">COUNTIF(B18:W18,1)+COUNTIF(B18:W18,"IC")</f>
        <v>2</v>
      </c>
      <c r="Y18" s="16" t="str">
        <f aca="false">IF(COUNTIF(B18:W18,"M")&gt;0,"N/A absence longue",IF(X18&gt;=2,"Atteint","Sous objectif"))</f>
        <v>Atteint</v>
      </c>
    </row>
    <row r="19" customFormat="false" ht="18" hidden="false" customHeight="true" outlineLevel="0" collapsed="false">
      <c r="A19" s="15" t="s">
        <v>100</v>
      </c>
      <c r="B19" s="16"/>
      <c r="C19" s="16"/>
      <c r="D19" s="16"/>
      <c r="E19" s="17"/>
      <c r="F19" s="18" t="n">
        <v>1</v>
      </c>
      <c r="G19" s="16"/>
      <c r="H19" s="16"/>
      <c r="I19" s="16"/>
      <c r="J19" s="17"/>
      <c r="K19" s="16"/>
      <c r="L19" s="16"/>
      <c r="M19" s="16"/>
      <c r="N19" s="16"/>
      <c r="O19" s="17"/>
      <c r="P19" s="16"/>
      <c r="Q19" s="16"/>
      <c r="R19" s="18" t="n">
        <v>1</v>
      </c>
      <c r="S19" s="16"/>
      <c r="T19" s="17"/>
      <c r="U19" s="16" t="n">
        <v>1</v>
      </c>
      <c r="V19" s="16"/>
      <c r="W19" s="16"/>
      <c r="X19" s="19" t="n">
        <f aca="false">COUNTIF(B19:W19,1)+COUNTIF(B19:W19,"IC")</f>
        <v>3</v>
      </c>
      <c r="Y19" s="16" t="str">
        <f aca="false">IF(COUNTIF(B19:W19,"M")&gt;0,"N/A absence longue",IF(X19&gt;=2,"Atteint","Sous objectif"))</f>
        <v>Atteint</v>
      </c>
    </row>
    <row r="20" customFormat="false" ht="18" hidden="false" customHeight="true" outlineLevel="0" collapsed="false">
      <c r="A20" s="15" t="s">
        <v>91</v>
      </c>
      <c r="B20" s="16"/>
      <c r="C20" s="16"/>
      <c r="D20" s="16"/>
      <c r="E20" s="17"/>
      <c r="F20" s="16"/>
      <c r="G20" s="16"/>
      <c r="H20" s="18" t="n">
        <v>1</v>
      </c>
      <c r="I20" s="16"/>
      <c r="J20" s="17"/>
      <c r="K20" s="16"/>
      <c r="L20" s="18" t="n">
        <v>1</v>
      </c>
      <c r="M20" s="16"/>
      <c r="N20" s="16"/>
      <c r="O20" s="17"/>
      <c r="P20" s="16"/>
      <c r="Q20" s="16"/>
      <c r="R20" s="18" t="n">
        <v>1</v>
      </c>
      <c r="S20" s="16"/>
      <c r="T20" s="17"/>
      <c r="U20" s="16"/>
      <c r="V20" s="16"/>
      <c r="W20" s="16"/>
      <c r="X20" s="19" t="n">
        <f aca="false">COUNTIF(B20:W20,1)+COUNTIF(B20:W20,"IC")</f>
        <v>3</v>
      </c>
      <c r="Y20" s="16" t="str">
        <f aca="false">IF(COUNTIF(B20:W20,"M")&gt;0,"N/A absence longue",IF(X20&gt;=2,"Atteint","Sous objectif"))</f>
        <v>Atteint</v>
      </c>
    </row>
    <row r="21" customFormat="false" ht="18" hidden="false" customHeight="true" outlineLevel="0" collapsed="false">
      <c r="A21" s="15" t="s">
        <v>83</v>
      </c>
      <c r="B21" s="16"/>
      <c r="C21" s="16"/>
      <c r="D21" s="16"/>
      <c r="E21" s="17"/>
      <c r="F21" s="18" t="n">
        <v>1</v>
      </c>
      <c r="G21" s="16"/>
      <c r="H21" s="16"/>
      <c r="I21" s="16"/>
      <c r="J21" s="24" t="n">
        <v>1</v>
      </c>
      <c r="K21" s="16"/>
      <c r="L21" s="16"/>
      <c r="M21" s="16"/>
      <c r="N21" s="16"/>
      <c r="O21" s="17"/>
      <c r="P21" s="16"/>
      <c r="Q21" s="16"/>
      <c r="R21" s="18" t="n">
        <v>1</v>
      </c>
      <c r="S21" s="16"/>
      <c r="T21" s="17"/>
      <c r="U21" s="16"/>
      <c r="V21" s="16"/>
      <c r="W21" s="16"/>
      <c r="X21" s="19" t="n">
        <f aca="false">COUNTIF(B21:W21,1)+COUNTIF(B21:W21,"IC")</f>
        <v>3</v>
      </c>
      <c r="Y21" s="16" t="str">
        <f aca="false">IF(COUNTIF(B21:W21,"M")&gt;0,"N/A absence longue",IF(X21&gt;=2,"Atteint","Sous objectif"))</f>
        <v>Atteint</v>
      </c>
    </row>
    <row r="22" customFormat="false" ht="18" hidden="false" customHeight="true" outlineLevel="0" collapsed="false">
      <c r="A22" s="15" t="s">
        <v>84</v>
      </c>
      <c r="B22" s="16"/>
      <c r="C22" s="16"/>
      <c r="D22" s="16"/>
      <c r="E22" s="17"/>
      <c r="F22" s="16"/>
      <c r="G22" s="16"/>
      <c r="H22" s="16"/>
      <c r="I22" s="16"/>
      <c r="J22" s="17"/>
      <c r="K22" s="16"/>
      <c r="L22" s="16"/>
      <c r="M22" s="18" t="n">
        <v>1</v>
      </c>
      <c r="N22" s="16"/>
      <c r="O22" s="17"/>
      <c r="P22" s="16"/>
      <c r="Q22" s="16"/>
      <c r="R22" s="18" t="n">
        <v>1</v>
      </c>
      <c r="S22" s="16"/>
      <c r="T22" s="17"/>
      <c r="U22" s="16"/>
      <c r="V22" s="16"/>
      <c r="W22" s="16"/>
      <c r="X22" s="19" t="n">
        <f aca="false">COUNTIF(B22:W22,1)+COUNTIF(B22:W22,"IC")</f>
        <v>2</v>
      </c>
      <c r="Y22" s="16" t="str">
        <f aca="false">IF(COUNTIF(B22:W22,"M")&gt;0,"N/A absence longue",IF(X22&gt;=2,"Atteint","Sous objectif"))</f>
        <v>Atteint</v>
      </c>
    </row>
    <row r="23" customFormat="false" ht="18" hidden="false" customHeight="true" outlineLevel="0" collapsed="false">
      <c r="A23" s="15" t="s">
        <v>80</v>
      </c>
      <c r="B23" s="16"/>
      <c r="C23" s="16"/>
      <c r="D23" s="16"/>
      <c r="E23" s="17"/>
      <c r="F23" s="16"/>
      <c r="G23" s="16"/>
      <c r="H23" s="16"/>
      <c r="I23" s="16"/>
      <c r="J23" s="17"/>
      <c r="K23" s="16"/>
      <c r="L23" s="16"/>
      <c r="M23" s="18" t="n">
        <v>1</v>
      </c>
      <c r="N23" s="16"/>
      <c r="O23" s="17"/>
      <c r="P23" s="16"/>
      <c r="Q23" s="16"/>
      <c r="R23" s="18" t="n">
        <v>1</v>
      </c>
      <c r="S23" s="16"/>
      <c r="T23" s="17"/>
      <c r="U23" s="16"/>
      <c r="V23" s="16"/>
      <c r="W23" s="16"/>
      <c r="X23" s="19" t="n">
        <f aca="false">COUNTIF(B23:W23,1)+COUNTIF(B23:W23,"IC")</f>
        <v>2</v>
      </c>
      <c r="Y23" s="16" t="str">
        <f aca="false">IF(COUNTIF(B23:W23,"M")&gt;0,"N/A absence longue",IF(X23&gt;=2,"Atteint","Sous objectif"))</f>
        <v>Atteint</v>
      </c>
    </row>
    <row r="24" customFormat="false" ht="18" hidden="false" customHeight="true" outlineLevel="0" collapsed="false">
      <c r="A24" s="15" t="s">
        <v>87</v>
      </c>
      <c r="B24" s="16"/>
      <c r="C24" s="22" t="s">
        <v>9</v>
      </c>
      <c r="D24" s="16"/>
      <c r="E24" s="17"/>
      <c r="F24" s="16"/>
      <c r="G24" s="16"/>
      <c r="H24" s="16"/>
      <c r="I24" s="16"/>
      <c r="J24" s="17"/>
      <c r="K24" s="16"/>
      <c r="L24" s="16"/>
      <c r="M24" s="16"/>
      <c r="N24" s="16"/>
      <c r="O24" s="17"/>
      <c r="P24" s="16"/>
      <c r="Q24" s="16"/>
      <c r="R24" s="18" t="n">
        <v>1</v>
      </c>
      <c r="S24" s="16"/>
      <c r="T24" s="17"/>
      <c r="U24" s="16"/>
      <c r="V24" s="16"/>
      <c r="W24" s="16"/>
      <c r="X24" s="19" t="n">
        <f aca="false">COUNTIF(B24:W24,1)+COUNTIF(B24:W24,"IC")</f>
        <v>2</v>
      </c>
      <c r="Y24" s="16" t="str">
        <f aca="false">IF(COUNTIF(B24:W24,"M")&gt;0,"N/A absence longue",IF(X24&gt;=2,"Atteint","Sous objectif"))</f>
        <v>Atteint</v>
      </c>
    </row>
    <row r="25" customFormat="false" ht="18" hidden="false" customHeight="true" outlineLevel="0" collapsed="false">
      <c r="A25" s="15" t="s">
        <v>90</v>
      </c>
      <c r="B25" s="16"/>
      <c r="C25" s="16"/>
      <c r="D25" s="16"/>
      <c r="E25" s="17"/>
      <c r="F25" s="16"/>
      <c r="G25" s="16"/>
      <c r="H25" s="16"/>
      <c r="I25" s="16"/>
      <c r="J25" s="24" t="n">
        <v>1</v>
      </c>
      <c r="K25" s="16"/>
      <c r="L25" s="16"/>
      <c r="M25" s="16"/>
      <c r="N25" s="16"/>
      <c r="O25" s="17"/>
      <c r="P25" s="16"/>
      <c r="Q25" s="16"/>
      <c r="R25" s="18" t="n">
        <v>1</v>
      </c>
      <c r="S25" s="16"/>
      <c r="T25" s="17"/>
      <c r="U25" s="16"/>
      <c r="V25" s="16"/>
      <c r="W25" s="16"/>
      <c r="X25" s="19" t="n">
        <f aca="false">COUNTIF(B25:W25,1)+COUNTIF(B25:W25,"IC")</f>
        <v>2</v>
      </c>
      <c r="Y25" s="16" t="str">
        <f aca="false">IF(COUNTIF(B25:W25,"M")&gt;0,"N/A absence longue",IF(X25&gt;=2,"Atteint","Sous objectif"))</f>
        <v>Atteint</v>
      </c>
    </row>
    <row r="26" customFormat="false" ht="18" hidden="false" customHeight="true" outlineLevel="0" collapsed="false">
      <c r="A26" s="15" t="s">
        <v>98</v>
      </c>
      <c r="B26" s="16"/>
      <c r="C26" s="16"/>
      <c r="D26" s="16"/>
      <c r="E26" s="17"/>
      <c r="F26" s="16"/>
      <c r="G26" s="16"/>
      <c r="H26" s="16"/>
      <c r="I26" s="16"/>
      <c r="J26" s="17"/>
      <c r="K26" s="16"/>
      <c r="L26" s="16"/>
      <c r="M26" s="16"/>
      <c r="N26" s="16"/>
      <c r="O26" s="17"/>
      <c r="P26" s="16"/>
      <c r="Q26" s="16"/>
      <c r="R26" s="18" t="n">
        <v>1</v>
      </c>
      <c r="S26" s="16"/>
      <c r="T26" s="17"/>
      <c r="U26" s="16"/>
      <c r="V26" s="16"/>
      <c r="W26" s="16"/>
      <c r="X26" s="19" t="n">
        <f aca="false">COUNTIF(B26:W26,1)+COUNTIF(B26:W26,"IC")</f>
        <v>1</v>
      </c>
      <c r="Y26" s="16" t="str">
        <f aca="false">IF(COUNTIF(B26:W26,"M")&gt;0,"N/A absence longue",IF(X26&gt;=2,"Atteint","Sous objectif"))</f>
        <v>Sous objectif</v>
      </c>
    </row>
    <row r="27" customFormat="false" ht="18" hidden="false" customHeight="true" outlineLevel="0" collapsed="false">
      <c r="A27" s="15" t="s">
        <v>99</v>
      </c>
      <c r="B27" s="16"/>
      <c r="C27" s="16"/>
      <c r="D27" s="16"/>
      <c r="E27" s="17"/>
      <c r="F27" s="16"/>
      <c r="G27" s="16"/>
      <c r="H27" s="16"/>
      <c r="I27" s="16"/>
      <c r="J27" s="17"/>
      <c r="K27" s="16"/>
      <c r="L27" s="16"/>
      <c r="M27" s="16"/>
      <c r="N27" s="16"/>
      <c r="O27" s="17"/>
      <c r="P27" s="16"/>
      <c r="Q27" s="16"/>
      <c r="R27" s="18" t="n">
        <v>1</v>
      </c>
      <c r="S27" s="16"/>
      <c r="T27" s="17"/>
      <c r="U27" s="16" t="n">
        <v>1</v>
      </c>
      <c r="V27" s="16"/>
      <c r="W27" s="16"/>
      <c r="X27" s="19" t="n">
        <f aca="false">COUNTIF(B27:W27,1)+COUNTIF(B27:W27,"IC")</f>
        <v>2</v>
      </c>
      <c r="Y27" s="16" t="str">
        <f aca="false">IF(COUNTIF(B27:W27,"M")&gt;0,"N/A absence longue",IF(X27&gt;=2,"Atteint","Sous objectif"))</f>
        <v>Atteint</v>
      </c>
    </row>
    <row r="28" customFormat="false" ht="18" hidden="false" customHeight="true" outlineLevel="0" collapsed="false">
      <c r="A28" s="15" t="s">
        <v>96</v>
      </c>
      <c r="B28" s="16"/>
      <c r="C28" s="16"/>
      <c r="D28" s="16"/>
      <c r="E28" s="17"/>
      <c r="F28" s="18" t="n">
        <v>1</v>
      </c>
      <c r="G28" s="16"/>
      <c r="H28" s="16"/>
      <c r="I28" s="16"/>
      <c r="J28" s="17"/>
      <c r="K28" s="18" t="n">
        <v>1</v>
      </c>
      <c r="L28" s="16"/>
      <c r="M28" s="16"/>
      <c r="N28" s="16"/>
      <c r="O28" s="17"/>
      <c r="P28" s="16"/>
      <c r="Q28" s="16"/>
      <c r="R28" s="18" t="n">
        <v>1</v>
      </c>
      <c r="S28" s="16"/>
      <c r="T28" s="17"/>
      <c r="U28" s="16"/>
      <c r="V28" s="16"/>
      <c r="W28" s="16"/>
      <c r="X28" s="19" t="n">
        <f aca="false">COUNTIF(B28:W28,1)+COUNTIF(B28:W28,"IC")</f>
        <v>3</v>
      </c>
      <c r="Y28" s="16" t="str">
        <f aca="false">IF(COUNTIF(B28:W28,"M")&gt;0,"N/A absence longue",IF(X28&gt;=2,"Atteint","Sous objectif"))</f>
        <v>Atteint</v>
      </c>
    </row>
    <row r="29" customFormat="false" ht="18" hidden="false" customHeight="true" outlineLevel="0" collapsed="false">
      <c r="A29" s="15" t="s">
        <v>79</v>
      </c>
      <c r="B29" s="16"/>
      <c r="C29" s="16"/>
      <c r="D29" s="16"/>
      <c r="E29" s="17"/>
      <c r="F29" s="18" t="n">
        <v>1</v>
      </c>
      <c r="G29" s="16"/>
      <c r="H29" s="16"/>
      <c r="I29" s="16"/>
      <c r="J29" s="17"/>
      <c r="K29" s="18" t="n">
        <v>1</v>
      </c>
      <c r="L29" s="16"/>
      <c r="M29" s="16"/>
      <c r="N29" s="16"/>
      <c r="O29" s="17"/>
      <c r="P29" s="18" t="n">
        <v>1</v>
      </c>
      <c r="Q29" s="16"/>
      <c r="R29" s="18" t="n">
        <v>1</v>
      </c>
      <c r="S29" s="16"/>
      <c r="T29" s="17"/>
      <c r="U29" s="16"/>
      <c r="V29" s="16"/>
      <c r="W29" s="16"/>
      <c r="X29" s="19" t="n">
        <f aca="false">COUNTIF(B29:W29,1)+COUNTIF(B29:W29,"IC")</f>
        <v>4</v>
      </c>
      <c r="Y29" s="16" t="str">
        <f aca="false">IF(COUNTIF(B29:W29,"M")&gt;0,"N/A absence longue",IF(X29&gt;=2,"Atteint","Sous objectif"))</f>
        <v>Atteint</v>
      </c>
    </row>
    <row r="31" customFormat="false" ht="15.75" hidden="false" customHeight="true" outlineLevel="0" collapsed="false">
      <c r="A31" s="25" t="s">
        <v>129</v>
      </c>
    </row>
    <row r="32" customFormat="false" ht="15.75" hidden="false" customHeight="true" outlineLevel="0" collapsed="false">
      <c r="A32" s="26" t="s">
        <v>119</v>
      </c>
      <c r="B32" s="16"/>
      <c r="C32" s="16"/>
      <c r="D32" s="16"/>
      <c r="E32" s="17"/>
      <c r="F32" s="16"/>
      <c r="G32" s="16"/>
      <c r="H32" s="16"/>
      <c r="I32" s="16"/>
      <c r="J32" s="17"/>
      <c r="K32" s="16"/>
      <c r="L32" s="16"/>
      <c r="M32" s="16"/>
      <c r="N32" s="16"/>
      <c r="O32" s="17"/>
      <c r="P32" s="16"/>
      <c r="Q32" s="16"/>
      <c r="R32" s="27" t="s">
        <v>18</v>
      </c>
      <c r="S32" s="16"/>
      <c r="T32" s="17"/>
      <c r="U32" s="16"/>
      <c r="V32" s="16"/>
      <c r="W32" s="16"/>
    </row>
    <row r="33" customFormat="false" ht="15.75" hidden="false" customHeight="true" outlineLevel="0" collapsed="false">
      <c r="A33" s="26" t="s">
        <v>117</v>
      </c>
      <c r="B33" s="16"/>
      <c r="C33" s="16"/>
      <c r="D33" s="16"/>
      <c r="E33" s="17"/>
      <c r="F33" s="16"/>
      <c r="G33" s="16"/>
      <c r="H33" s="16"/>
      <c r="I33" s="16"/>
      <c r="J33" s="17"/>
      <c r="K33" s="16"/>
      <c r="L33" s="16"/>
      <c r="M33" s="16"/>
      <c r="N33" s="16"/>
      <c r="O33" s="17"/>
      <c r="P33" s="16"/>
      <c r="Q33" s="16"/>
      <c r="R33" s="16"/>
      <c r="S33" s="16"/>
      <c r="T33" s="17"/>
      <c r="U33" s="16"/>
      <c r="V33" s="16"/>
      <c r="W33" s="16"/>
    </row>
    <row r="34" customFormat="false" ht="15.75" hidden="false" customHeight="true" outlineLevel="0" collapsed="false">
      <c r="A34" s="26" t="s">
        <v>130</v>
      </c>
      <c r="B34" s="16"/>
      <c r="C34" s="16"/>
      <c r="D34" s="16"/>
      <c r="E34" s="17"/>
      <c r="F34" s="16"/>
      <c r="G34" s="16"/>
      <c r="H34" s="16"/>
      <c r="I34" s="16"/>
      <c r="J34" s="17"/>
      <c r="K34" s="16"/>
      <c r="L34" s="16"/>
      <c r="M34" s="16"/>
      <c r="N34" s="16"/>
      <c r="O34" s="17"/>
      <c r="P34" s="16"/>
      <c r="Q34" s="16"/>
      <c r="R34" s="16"/>
      <c r="S34" s="16"/>
      <c r="T34" s="17"/>
      <c r="U34" s="16"/>
      <c r="V34" s="16"/>
      <c r="W34" s="16"/>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1" min="2" style="3" width="8"/>
    <col collapsed="false" customWidth="true" hidden="false" outlineLevel="0" max="22" min="22" style="3" width="18"/>
  </cols>
  <sheetData>
    <row r="1" customFormat="false" ht="21.75" hidden="false" customHeight="true" outlineLevel="0" collapsed="false">
      <c r="A1" s="9" t="s">
        <v>133</v>
      </c>
      <c r="B1" s="9"/>
      <c r="C1" s="9"/>
      <c r="D1" s="9"/>
      <c r="E1" s="9"/>
      <c r="F1" s="9"/>
      <c r="G1" s="9"/>
      <c r="H1" s="9"/>
      <c r="I1" s="9"/>
      <c r="J1" s="9"/>
      <c r="K1" s="9"/>
      <c r="L1" s="9"/>
      <c r="M1" s="9"/>
      <c r="N1" s="9"/>
      <c r="O1" s="9"/>
      <c r="P1" s="9"/>
      <c r="Q1" s="9"/>
      <c r="R1" s="9"/>
      <c r="S1" s="9"/>
      <c r="T1" s="9"/>
      <c r="U1" s="9"/>
    </row>
    <row r="3" customFormat="false" ht="21.75" hidden="false" customHeight="true" outlineLevel="0" collapsed="false">
      <c r="A3" s="10" t="s">
        <v>74</v>
      </c>
      <c r="B3" s="11" t="n">
        <v>46146</v>
      </c>
      <c r="C3" s="11" t="n">
        <v>46147</v>
      </c>
      <c r="D3" s="11" t="n">
        <v>46148</v>
      </c>
      <c r="E3" s="11" t="n">
        <v>46149</v>
      </c>
      <c r="F3" s="11" t="n">
        <v>46150</v>
      </c>
      <c r="G3" s="11" t="n">
        <v>46153</v>
      </c>
      <c r="H3" s="11" t="n">
        <v>46154</v>
      </c>
      <c r="I3" s="11" t="n">
        <v>46155</v>
      </c>
      <c r="J3" s="11" t="n">
        <v>46157</v>
      </c>
      <c r="K3" s="11" t="n">
        <v>46160</v>
      </c>
      <c r="L3" s="11" t="n">
        <v>46161</v>
      </c>
      <c r="M3" s="11" t="n">
        <v>46162</v>
      </c>
      <c r="N3" s="11" t="n">
        <v>46163</v>
      </c>
      <c r="O3" s="11" t="n">
        <v>46164</v>
      </c>
      <c r="P3" s="11" t="n">
        <v>46168</v>
      </c>
      <c r="Q3" s="11" t="n">
        <v>46169</v>
      </c>
      <c r="R3" s="11" t="n">
        <v>46170</v>
      </c>
      <c r="S3" s="11" t="n">
        <v>46171</v>
      </c>
      <c r="T3" s="13" t="s">
        <v>127</v>
      </c>
      <c r="U3" s="14" t="s">
        <v>128</v>
      </c>
      <c r="V3" s="14"/>
    </row>
    <row r="4" customFormat="false" ht="18" hidden="false" customHeight="true" outlineLevel="0" collapsed="false">
      <c r="A4" s="15" t="s">
        <v>88</v>
      </c>
      <c r="B4" s="16"/>
      <c r="C4" s="16"/>
      <c r="D4" s="17" t="n">
        <v>1</v>
      </c>
      <c r="E4" s="16"/>
      <c r="F4" s="16"/>
      <c r="G4" s="16"/>
      <c r="H4" s="16"/>
      <c r="I4" s="17"/>
      <c r="J4" s="16"/>
      <c r="K4" s="16"/>
      <c r="L4" s="16" t="n">
        <v>1</v>
      </c>
      <c r="M4" s="17"/>
      <c r="N4" s="16"/>
      <c r="O4" s="16"/>
      <c r="P4" s="16"/>
      <c r="Q4" s="17"/>
      <c r="R4" s="16" t="n">
        <v>1</v>
      </c>
      <c r="S4" s="16"/>
      <c r="T4" s="19" t="n">
        <f aca="false">COUNTIF(B4:S4,1)+COUNTIF(B4:S4,"IC")</f>
        <v>3</v>
      </c>
      <c r="U4" s="16" t="str">
        <f aca="false">IF(COUNTIF(B4:S4,"M")&gt;0,"N/A absence longue",IF(T4&gt;=2,"Atteint","Sous objectif"))</f>
        <v>Atteint</v>
      </c>
      <c r="V4" s="16"/>
    </row>
    <row r="5" customFormat="false" ht="18" hidden="false" customHeight="true" outlineLevel="0" collapsed="false">
      <c r="A5" s="15" t="s">
        <v>103</v>
      </c>
      <c r="B5" s="16" t="s">
        <v>9</v>
      </c>
      <c r="C5" s="16" t="s">
        <v>9</v>
      </c>
      <c r="D5" s="17"/>
      <c r="E5" s="16" t="s">
        <v>9</v>
      </c>
      <c r="F5" s="16"/>
      <c r="G5" s="16"/>
      <c r="H5" s="16" t="s">
        <v>9</v>
      </c>
      <c r="I5" s="17"/>
      <c r="J5" s="16"/>
      <c r="K5" s="16" t="s">
        <v>9</v>
      </c>
      <c r="L5" s="16" t="s">
        <v>9</v>
      </c>
      <c r="M5" s="17"/>
      <c r="N5" s="16" t="s">
        <v>9</v>
      </c>
      <c r="O5" s="16"/>
      <c r="P5" s="16"/>
      <c r="Q5" s="17"/>
      <c r="R5" s="16" t="s">
        <v>9</v>
      </c>
      <c r="S5" s="16"/>
      <c r="T5" s="19" t="n">
        <f aca="false">COUNTIF(B5:S5,1)+COUNTIF(B5:S5,"IC")</f>
        <v>8</v>
      </c>
      <c r="U5" s="16" t="str">
        <f aca="false">IF(COUNTIF(B5:S5,"M")&gt;0,"N/A absence longue",IF(T5&gt;=2,"Atteint","Sous objectif"))</f>
        <v>Atteint</v>
      </c>
      <c r="V5" s="16"/>
    </row>
    <row r="6" customFormat="false" ht="18" hidden="false" customHeight="true" outlineLevel="0" collapsed="false">
      <c r="A6" s="15" t="s">
        <v>85</v>
      </c>
      <c r="B6" s="16"/>
      <c r="C6" s="16"/>
      <c r="D6" s="17"/>
      <c r="E6" s="16"/>
      <c r="F6" s="16"/>
      <c r="G6" s="16"/>
      <c r="H6" s="16"/>
      <c r="I6" s="17"/>
      <c r="J6" s="16"/>
      <c r="K6" s="16"/>
      <c r="L6" s="16"/>
      <c r="M6" s="17"/>
      <c r="N6" s="16"/>
      <c r="O6" s="16"/>
      <c r="P6" s="16"/>
      <c r="Q6" s="17"/>
      <c r="R6" s="16" t="n">
        <v>1</v>
      </c>
      <c r="S6" s="16"/>
      <c r="T6" s="19" t="n">
        <f aca="false">COUNTIF(B6:S6,1)+COUNTIF(B6:S6,"IC")</f>
        <v>1</v>
      </c>
      <c r="U6" s="16" t="str">
        <f aca="false">IF(COUNTIF(B6:S6,"M")&gt;0,"N/A absence longue",IF(T6&gt;=2,"Atteint","Sous objectif"))</f>
        <v>Sous objectif</v>
      </c>
      <c r="V6" s="16"/>
    </row>
    <row r="7" customFormat="false" ht="18" hidden="false" customHeight="true" outlineLevel="0" collapsed="false">
      <c r="A7" s="15" t="s">
        <v>95</v>
      </c>
      <c r="B7" s="16"/>
      <c r="C7" s="16"/>
      <c r="D7" s="17"/>
      <c r="E7" s="16"/>
      <c r="F7" s="16"/>
      <c r="G7" s="16"/>
      <c r="H7" s="16"/>
      <c r="I7" s="17"/>
      <c r="J7" s="16"/>
      <c r="K7" s="16"/>
      <c r="L7" s="16" t="n">
        <v>1</v>
      </c>
      <c r="M7" s="17"/>
      <c r="N7" s="16" t="n">
        <v>1</v>
      </c>
      <c r="O7" s="16"/>
      <c r="P7" s="16" t="n">
        <v>1</v>
      </c>
      <c r="Q7" s="17" t="n">
        <v>1</v>
      </c>
      <c r="R7" s="16" t="n">
        <v>1</v>
      </c>
      <c r="S7" s="16"/>
      <c r="T7" s="19" t="n">
        <f aca="false">COUNTIF(B7:S7,1)+COUNTIF(B7:S7,"IC")</f>
        <v>5</v>
      </c>
      <c r="U7" s="16" t="str">
        <f aca="false">IF(COUNTIF(B7:S7,"M")&gt;0,"N/A absence longue",IF(T7&gt;=2,"Atteint","Sous objectif"))</f>
        <v>Atteint</v>
      </c>
      <c r="V7" s="16"/>
    </row>
    <row r="8" customFormat="false" ht="18" hidden="false" customHeight="true" outlineLevel="0" collapsed="false">
      <c r="A8" s="15" t="s">
        <v>94</v>
      </c>
      <c r="B8" s="16" t="s">
        <v>9</v>
      </c>
      <c r="C8" s="16" t="s">
        <v>9</v>
      </c>
      <c r="D8" s="17" t="s">
        <v>9</v>
      </c>
      <c r="E8" s="16" t="s">
        <v>9</v>
      </c>
      <c r="F8" s="16"/>
      <c r="G8" s="16" t="s">
        <v>9</v>
      </c>
      <c r="H8" s="16" t="s">
        <v>9</v>
      </c>
      <c r="I8" s="17"/>
      <c r="J8" s="16" t="s">
        <v>9</v>
      </c>
      <c r="K8" s="16" t="s">
        <v>9</v>
      </c>
      <c r="L8" s="16" t="s">
        <v>9</v>
      </c>
      <c r="M8" s="17"/>
      <c r="N8" s="16" t="s">
        <v>9</v>
      </c>
      <c r="O8" s="16"/>
      <c r="P8" s="16"/>
      <c r="Q8" s="17"/>
      <c r="R8" s="16" t="n">
        <v>1</v>
      </c>
      <c r="S8" s="16"/>
      <c r="T8" s="19" t="n">
        <f aca="false">COUNTIF(B8:S8,1)+COUNTIF(B8:S8,"IC")</f>
        <v>11</v>
      </c>
      <c r="U8" s="16" t="str">
        <f aca="false">IF(COUNTIF(B8:S8,"M")&gt;0,"N/A absence longue",IF(T8&gt;=2,"Atteint","Sous objectif"))</f>
        <v>Atteint</v>
      </c>
      <c r="V8" s="16"/>
    </row>
    <row r="9" customFormat="false" ht="18" hidden="false" customHeight="true" outlineLevel="0" collapsed="false">
      <c r="A9" s="15" t="s">
        <v>82</v>
      </c>
      <c r="B9" s="16" t="s">
        <v>9</v>
      </c>
      <c r="C9" s="16"/>
      <c r="D9" s="17" t="s">
        <v>9</v>
      </c>
      <c r="E9" s="16" t="s">
        <v>9</v>
      </c>
      <c r="F9" s="16"/>
      <c r="G9" s="16" t="s">
        <v>9</v>
      </c>
      <c r="H9" s="16" t="s">
        <v>9</v>
      </c>
      <c r="I9" s="17"/>
      <c r="J9" s="16" t="s">
        <v>9</v>
      </c>
      <c r="K9" s="16" t="s">
        <v>9</v>
      </c>
      <c r="L9" s="16" t="s">
        <v>9</v>
      </c>
      <c r="M9" s="17"/>
      <c r="N9" s="16" t="s">
        <v>9</v>
      </c>
      <c r="O9" s="16"/>
      <c r="P9" s="16"/>
      <c r="Q9" s="17"/>
      <c r="R9" s="16" t="n">
        <v>1</v>
      </c>
      <c r="S9" s="16"/>
      <c r="T9" s="19" t="n">
        <f aca="false">COUNTIF(B9:S9,1)+COUNTIF(B9:S9,"IC")</f>
        <v>10</v>
      </c>
      <c r="U9" s="16" t="str">
        <f aca="false">IF(COUNTIF(B9:S9,"M")&gt;0,"N/A absence longue",IF(T9&gt;=2,"Atteint","Sous objectif"))</f>
        <v>Atteint</v>
      </c>
      <c r="V9" s="16"/>
    </row>
    <row r="10" customFormat="false" ht="18" hidden="false" customHeight="true" outlineLevel="0" collapsed="false">
      <c r="A10" s="15" t="s">
        <v>97</v>
      </c>
      <c r="B10" s="16"/>
      <c r="C10" s="16" t="n">
        <v>1</v>
      </c>
      <c r="D10" s="17"/>
      <c r="E10" s="16" t="n">
        <v>1</v>
      </c>
      <c r="F10" s="16"/>
      <c r="G10" s="16"/>
      <c r="H10" s="16" t="n">
        <v>1</v>
      </c>
      <c r="I10" s="17"/>
      <c r="J10" s="16"/>
      <c r="K10" s="16"/>
      <c r="L10" s="16" t="n">
        <v>1</v>
      </c>
      <c r="M10" s="17"/>
      <c r="N10" s="16" t="n">
        <v>1</v>
      </c>
      <c r="O10" s="16"/>
      <c r="P10" s="16"/>
      <c r="Q10" s="17"/>
      <c r="R10" s="16" t="n">
        <v>1</v>
      </c>
      <c r="S10" s="16"/>
      <c r="T10" s="19" t="n">
        <f aca="false">COUNTIF(B10:S10,1)+COUNTIF(B10:S10,"IC")</f>
        <v>6</v>
      </c>
      <c r="U10" s="16" t="str">
        <f aca="false">IF(COUNTIF(B10:S10,"M")&gt;0,"N/A absence longue",IF(T10&gt;=2,"Atteint","Sous objectif"))</f>
        <v>Atteint</v>
      </c>
      <c r="V10" s="16"/>
    </row>
    <row r="11" customFormat="false" ht="18" hidden="false" customHeight="true" outlineLevel="0" collapsed="false">
      <c r="A11" s="15" t="s">
        <v>93</v>
      </c>
      <c r="B11" s="16"/>
      <c r="C11" s="16"/>
      <c r="D11" s="17"/>
      <c r="E11" s="16"/>
      <c r="F11" s="16"/>
      <c r="G11" s="16"/>
      <c r="H11" s="16"/>
      <c r="I11" s="17"/>
      <c r="J11" s="16"/>
      <c r="K11" s="16"/>
      <c r="L11" s="16"/>
      <c r="M11" s="17"/>
      <c r="N11" s="16" t="n">
        <v>1</v>
      </c>
      <c r="O11" s="16"/>
      <c r="P11" s="16"/>
      <c r="Q11" s="17"/>
      <c r="R11" s="16"/>
      <c r="S11" s="16"/>
      <c r="T11" s="19" t="n">
        <f aca="false">COUNTIF(B11:S11,1)+COUNTIF(B11:S11,"IC")</f>
        <v>1</v>
      </c>
      <c r="U11" s="16" t="str">
        <f aca="false">IF(COUNTIF(B11:S11,"M")&gt;0,"N/A absence longue",IF(T11&gt;=2,"Atteint","Sous objectif"))</f>
        <v>Sous objectif</v>
      </c>
      <c r="V11" s="16"/>
    </row>
    <row r="12" customFormat="false" ht="18" hidden="false" customHeight="true" outlineLevel="0" collapsed="false">
      <c r="A12" s="15" t="s">
        <v>81</v>
      </c>
      <c r="B12" s="16"/>
      <c r="C12" s="16"/>
      <c r="D12" s="17"/>
      <c r="E12" s="16"/>
      <c r="F12" s="16"/>
      <c r="G12" s="16"/>
      <c r="H12" s="16"/>
      <c r="I12" s="17"/>
      <c r="J12" s="16"/>
      <c r="K12" s="16"/>
      <c r="L12" s="16"/>
      <c r="M12" s="17"/>
      <c r="N12" s="16"/>
      <c r="O12" s="16"/>
      <c r="P12" s="16"/>
      <c r="Q12" s="17"/>
      <c r="R12" s="16" t="n">
        <v>1</v>
      </c>
      <c r="S12" s="16"/>
      <c r="T12" s="19" t="n">
        <f aca="false">COUNTIF(B12:S12,1)+COUNTIF(B12:S12,"IC")</f>
        <v>1</v>
      </c>
      <c r="U12" s="16" t="str">
        <f aca="false">IF(COUNTIF(B12:S12,"M")&gt;0,"N/A absence longue",IF(T12&gt;=2,"Atteint","Sous objectif"))</f>
        <v>Sous objectif</v>
      </c>
      <c r="V12" s="16"/>
    </row>
    <row r="13" customFormat="false" ht="18" hidden="false" customHeight="true" outlineLevel="0" collapsed="false">
      <c r="A13" s="15" t="s">
        <v>78</v>
      </c>
      <c r="B13" s="16"/>
      <c r="C13" s="16"/>
      <c r="D13" s="17"/>
      <c r="E13" s="16"/>
      <c r="F13" s="16"/>
      <c r="G13" s="16"/>
      <c r="H13" s="16"/>
      <c r="I13" s="17"/>
      <c r="J13" s="16"/>
      <c r="K13" s="16"/>
      <c r="L13" s="16" t="n">
        <v>1</v>
      </c>
      <c r="M13" s="17"/>
      <c r="N13" s="16"/>
      <c r="O13" s="16"/>
      <c r="P13" s="16"/>
      <c r="Q13" s="17"/>
      <c r="R13" s="16"/>
      <c r="S13" s="16"/>
      <c r="T13" s="19" t="n">
        <f aca="false">COUNTIF(B13:S13,1)+COUNTIF(B13:S13,"IC")</f>
        <v>1</v>
      </c>
      <c r="U13" s="16" t="str">
        <f aca="false">IF(COUNTIF(B13:S13,"M")&gt;0,"N/A absence longue",IF(T13&gt;=2,"Atteint","Sous objectif"))</f>
        <v>Sous objectif</v>
      </c>
      <c r="V13" s="16"/>
    </row>
    <row r="14" customFormat="false" ht="18" hidden="false" customHeight="true" outlineLevel="0" collapsed="false">
      <c r="A14" s="15" t="s">
        <v>101</v>
      </c>
      <c r="B14" s="16"/>
      <c r="C14" s="16"/>
      <c r="D14" s="17"/>
      <c r="E14" s="16"/>
      <c r="F14" s="16"/>
      <c r="G14" s="16"/>
      <c r="H14" s="16"/>
      <c r="I14" s="17"/>
      <c r="J14" s="16"/>
      <c r="K14" s="16"/>
      <c r="L14" s="16"/>
      <c r="M14" s="17"/>
      <c r="N14" s="16"/>
      <c r="O14" s="16"/>
      <c r="P14" s="16"/>
      <c r="Q14" s="17"/>
      <c r="R14" s="16" t="n">
        <v>1</v>
      </c>
      <c r="S14" s="16"/>
      <c r="T14" s="19" t="n">
        <f aca="false">COUNTIF(B14:S14,1)+COUNTIF(B14:S14,"IC")</f>
        <v>1</v>
      </c>
      <c r="U14" s="16" t="str">
        <f aca="false">IF(COUNTIF(B14:S14,"M")&gt;0,"N/A absence longue",IF(T14&gt;=2,"Atteint","Sous objectif"))</f>
        <v>Sous objectif</v>
      </c>
      <c r="V14" s="16"/>
    </row>
    <row r="15" customFormat="false" ht="18" hidden="false" customHeight="true" outlineLevel="0" collapsed="false">
      <c r="A15" s="15" t="s">
        <v>89</v>
      </c>
      <c r="B15" s="16"/>
      <c r="C15" s="16"/>
      <c r="D15" s="17"/>
      <c r="E15" s="16"/>
      <c r="F15" s="16"/>
      <c r="G15" s="16"/>
      <c r="H15" s="16"/>
      <c r="I15" s="17" t="n">
        <v>1</v>
      </c>
      <c r="J15" s="16"/>
      <c r="K15" s="16"/>
      <c r="L15" s="16"/>
      <c r="M15" s="17"/>
      <c r="N15" s="16" t="n">
        <v>1</v>
      </c>
      <c r="O15" s="16"/>
      <c r="P15" s="16"/>
      <c r="Q15" s="17"/>
      <c r="R15" s="16" t="n">
        <v>1</v>
      </c>
      <c r="S15" s="16"/>
      <c r="T15" s="19" t="n">
        <f aca="false">COUNTIF(B15:S15,1)+COUNTIF(B15:S15,"IC")</f>
        <v>3</v>
      </c>
      <c r="U15" s="16" t="str">
        <f aca="false">IF(COUNTIF(B15:S15,"M")&gt;0,"N/A absence longue",IF(T15&gt;=2,"Atteint","Sous objectif"))</f>
        <v>Atteint</v>
      </c>
      <c r="V15" s="16"/>
    </row>
    <row r="16" customFormat="false" ht="18" hidden="false" customHeight="true" outlineLevel="0" collapsed="false">
      <c r="A16" s="15" t="s">
        <v>102</v>
      </c>
      <c r="B16" s="16"/>
      <c r="C16" s="16"/>
      <c r="D16" s="17" t="n">
        <v>1</v>
      </c>
      <c r="E16" s="16"/>
      <c r="F16" s="16"/>
      <c r="G16" s="16"/>
      <c r="H16" s="16"/>
      <c r="I16" s="17"/>
      <c r="J16" s="16"/>
      <c r="K16" s="16"/>
      <c r="L16" s="16" t="n">
        <v>1</v>
      </c>
      <c r="M16" s="17"/>
      <c r="N16" s="16"/>
      <c r="O16" s="16"/>
      <c r="P16" s="16"/>
      <c r="Q16" s="17"/>
      <c r="R16" s="16" t="n">
        <v>1</v>
      </c>
      <c r="S16" s="16"/>
      <c r="T16" s="19" t="n">
        <f aca="false">COUNTIF(B16:S16,1)+COUNTIF(B16:S16,"IC")</f>
        <v>3</v>
      </c>
      <c r="U16" s="16" t="str">
        <f aca="false">IF(COUNTIF(B16:S16,"M")&gt;0,"N/A absence longue",IF(T16&gt;=2,"Atteint","Sous objectif"))</f>
        <v>Atteint</v>
      </c>
      <c r="V16" s="16"/>
    </row>
    <row r="17" customFormat="false" ht="18" hidden="false" customHeight="true" outlineLevel="0" collapsed="false">
      <c r="A17" s="15" t="s">
        <v>86</v>
      </c>
      <c r="B17" s="16" t="s">
        <v>9</v>
      </c>
      <c r="C17" s="16"/>
      <c r="D17" s="17" t="s">
        <v>9</v>
      </c>
      <c r="E17" s="16" t="s">
        <v>9</v>
      </c>
      <c r="F17" s="16"/>
      <c r="G17" s="16" t="s">
        <v>9</v>
      </c>
      <c r="H17" s="16" t="s">
        <v>9</v>
      </c>
      <c r="I17" s="17"/>
      <c r="J17" s="16"/>
      <c r="K17" s="16"/>
      <c r="L17" s="16"/>
      <c r="M17" s="17"/>
      <c r="N17" s="16"/>
      <c r="O17" s="16"/>
      <c r="P17" s="16"/>
      <c r="Q17" s="17" t="s">
        <v>9</v>
      </c>
      <c r="R17" s="16" t="s">
        <v>9</v>
      </c>
      <c r="S17" s="16" t="s">
        <v>9</v>
      </c>
      <c r="T17" s="19" t="n">
        <f aca="false">COUNTIF(B17:S17,1)+COUNTIF(B17:S17,"IC")</f>
        <v>8</v>
      </c>
      <c r="U17" s="16" t="str">
        <f aca="false">IF(COUNTIF(B17:S17,"M")&gt;0,"N/A absence longue",IF(T17&gt;=2,"Atteint","Sous objectif"))</f>
        <v>Atteint</v>
      </c>
      <c r="V17" s="16"/>
    </row>
    <row r="18" customFormat="false" ht="18" hidden="false" customHeight="true" outlineLevel="0" collapsed="false">
      <c r="A18" s="15" t="s">
        <v>92</v>
      </c>
      <c r="B18" s="16"/>
      <c r="C18" s="16"/>
      <c r="D18" s="17"/>
      <c r="E18" s="16"/>
      <c r="F18" s="16"/>
      <c r="G18" s="16"/>
      <c r="H18" s="16"/>
      <c r="I18" s="17"/>
      <c r="J18" s="16"/>
      <c r="K18" s="16"/>
      <c r="L18" s="16"/>
      <c r="M18" s="17"/>
      <c r="N18" s="16"/>
      <c r="O18" s="16"/>
      <c r="P18" s="16"/>
      <c r="Q18" s="17"/>
      <c r="R18" s="16" t="n">
        <v>1</v>
      </c>
      <c r="S18" s="16"/>
      <c r="T18" s="19" t="n">
        <f aca="false">COUNTIF(B18:S18,1)+COUNTIF(B18:S18,"IC")</f>
        <v>1</v>
      </c>
      <c r="U18" s="16" t="str">
        <f aca="false">IF(COUNTIF(B18:S18,"M")&gt;0,"N/A absence longue",IF(T18&gt;=2,"Atteint","Sous objectif"))</f>
        <v>Sous objectif</v>
      </c>
      <c r="V18" s="16"/>
    </row>
    <row r="19" customFormat="false" ht="18" hidden="false" customHeight="true" outlineLevel="0" collapsed="false">
      <c r="A19" s="15" t="s">
        <v>100</v>
      </c>
      <c r="B19" s="16"/>
      <c r="C19" s="16"/>
      <c r="D19" s="17"/>
      <c r="E19" s="16"/>
      <c r="F19" s="16"/>
      <c r="G19" s="16"/>
      <c r="H19" s="16"/>
      <c r="I19" s="17"/>
      <c r="J19" s="16"/>
      <c r="K19" s="16"/>
      <c r="L19" s="16" t="n">
        <v>1</v>
      </c>
      <c r="M19" s="17"/>
      <c r="N19" s="16"/>
      <c r="O19" s="16"/>
      <c r="P19" s="16"/>
      <c r="Q19" s="17"/>
      <c r="R19" s="16" t="n">
        <v>1</v>
      </c>
      <c r="S19" s="16"/>
      <c r="T19" s="19" t="n">
        <f aca="false">COUNTIF(B19:S19,1)+COUNTIF(B19:S19,"IC")</f>
        <v>2</v>
      </c>
      <c r="U19" s="16" t="str">
        <f aca="false">IF(COUNTIF(B19:S19,"M")&gt;0,"N/A absence longue",IF(T19&gt;=2,"Atteint","Sous objectif"))</f>
        <v>Atteint</v>
      </c>
      <c r="V19" s="16"/>
    </row>
    <row r="20" customFormat="false" ht="18" hidden="false" customHeight="true" outlineLevel="0" collapsed="false">
      <c r="A20" s="15" t="s">
        <v>91</v>
      </c>
      <c r="B20" s="16"/>
      <c r="C20" s="16"/>
      <c r="D20" s="17"/>
      <c r="E20" s="16"/>
      <c r="F20" s="16"/>
      <c r="G20" s="16"/>
      <c r="H20" s="16"/>
      <c r="I20" s="17"/>
      <c r="J20" s="16"/>
      <c r="K20" s="16"/>
      <c r="L20" s="16"/>
      <c r="M20" s="17"/>
      <c r="N20" s="16"/>
      <c r="O20" s="16"/>
      <c r="P20" s="16"/>
      <c r="Q20" s="17"/>
      <c r="R20" s="16" t="n">
        <v>1</v>
      </c>
      <c r="S20" s="16"/>
      <c r="T20" s="19" t="n">
        <f aca="false">COUNTIF(B20:S20,1)+COUNTIF(B20:S20,"IC")</f>
        <v>1</v>
      </c>
      <c r="U20" s="16" t="str">
        <f aca="false">IF(COUNTIF(B20:S20,"M")&gt;0,"N/A absence longue",IF(T20&gt;=2,"Atteint","Sous objectif"))</f>
        <v>Sous objectif</v>
      </c>
      <c r="V20" s="16"/>
    </row>
    <row r="21" customFormat="false" ht="18" hidden="false" customHeight="true" outlineLevel="0" collapsed="false">
      <c r="A21" s="15" t="s">
        <v>83</v>
      </c>
      <c r="B21" s="16"/>
      <c r="C21" s="16"/>
      <c r="D21" s="17"/>
      <c r="E21" s="16" t="n">
        <v>1</v>
      </c>
      <c r="F21" s="16"/>
      <c r="G21" s="16"/>
      <c r="H21" s="16"/>
      <c r="I21" s="17"/>
      <c r="J21" s="16"/>
      <c r="K21" s="16"/>
      <c r="L21" s="16" t="n">
        <v>1</v>
      </c>
      <c r="M21" s="17" t="n">
        <v>1</v>
      </c>
      <c r="N21" s="16"/>
      <c r="O21" s="16" t="n">
        <v>1</v>
      </c>
      <c r="P21" s="16"/>
      <c r="Q21" s="17"/>
      <c r="R21" s="16" t="n">
        <v>1</v>
      </c>
      <c r="S21" s="16"/>
      <c r="T21" s="19" t="n">
        <f aca="false">COUNTIF(B21:S21,1)+COUNTIF(B21:S21,"IC")</f>
        <v>5</v>
      </c>
      <c r="U21" s="16" t="str">
        <f aca="false">IF(COUNTIF(B21:S21,"M")&gt;0,"N/A absence longue",IF(T21&gt;=2,"Atteint","Sous objectif"))</f>
        <v>Atteint</v>
      </c>
      <c r="V21" s="16"/>
    </row>
    <row r="22" customFormat="false" ht="18" hidden="false" customHeight="true" outlineLevel="0" collapsed="false">
      <c r="A22" s="15" t="s">
        <v>84</v>
      </c>
      <c r="B22" s="16"/>
      <c r="C22" s="16"/>
      <c r="D22" s="17"/>
      <c r="E22" s="16"/>
      <c r="F22" s="16"/>
      <c r="G22" s="16"/>
      <c r="H22" s="16"/>
      <c r="I22" s="17"/>
      <c r="J22" s="16"/>
      <c r="K22" s="16"/>
      <c r="L22" s="16"/>
      <c r="M22" s="17"/>
      <c r="N22" s="16"/>
      <c r="O22" s="16"/>
      <c r="P22" s="16"/>
      <c r="Q22" s="17"/>
      <c r="R22" s="16"/>
      <c r="S22" s="16"/>
      <c r="T22" s="19" t="n">
        <f aca="false">COUNTIF(B22:S22,1)+COUNTIF(B22:S22,"IC")</f>
        <v>0</v>
      </c>
      <c r="U22" s="16" t="str">
        <f aca="false">IF(COUNTIF(B22:S22,"M")&gt;0,"N/A absence longue",IF(T22&gt;=2,"Atteint","Sous objectif"))</f>
        <v>Sous objectif</v>
      </c>
      <c r="V22" s="16"/>
    </row>
    <row r="23" customFormat="false" ht="18" hidden="false" customHeight="true" outlineLevel="0" collapsed="false">
      <c r="A23" s="15" t="s">
        <v>80</v>
      </c>
      <c r="B23" s="16"/>
      <c r="C23" s="16"/>
      <c r="D23" s="17" t="n">
        <v>1</v>
      </c>
      <c r="E23" s="16"/>
      <c r="F23" s="16"/>
      <c r="G23" s="16"/>
      <c r="H23" s="16"/>
      <c r="I23" s="17"/>
      <c r="J23" s="16"/>
      <c r="K23" s="16"/>
      <c r="L23" s="16"/>
      <c r="M23" s="17"/>
      <c r="N23" s="16"/>
      <c r="O23" s="16"/>
      <c r="P23" s="16"/>
      <c r="Q23" s="17"/>
      <c r="R23" s="16" t="n">
        <v>1</v>
      </c>
      <c r="S23" s="16"/>
      <c r="T23" s="19" t="n">
        <f aca="false">COUNTIF(B23:S23,1)+COUNTIF(B23:S23,"IC")</f>
        <v>2</v>
      </c>
      <c r="U23" s="16" t="str">
        <f aca="false">IF(COUNTIF(B23:S23,"M")&gt;0,"N/A absence longue",IF(T23&gt;=2,"Atteint","Sous objectif"))</f>
        <v>Atteint</v>
      </c>
      <c r="V23" s="16"/>
    </row>
    <row r="24" customFormat="false" ht="18" hidden="false" customHeight="true" outlineLevel="0" collapsed="false">
      <c r="A24" s="15" t="s">
        <v>87</v>
      </c>
      <c r="B24" s="16"/>
      <c r="C24" s="16"/>
      <c r="D24" s="17"/>
      <c r="E24" s="16"/>
      <c r="F24" s="16"/>
      <c r="G24" s="16"/>
      <c r="H24" s="16"/>
      <c r="I24" s="17"/>
      <c r="J24" s="16"/>
      <c r="K24" s="16"/>
      <c r="L24" s="16"/>
      <c r="M24" s="17"/>
      <c r="N24" s="16"/>
      <c r="O24" s="16"/>
      <c r="P24" s="16"/>
      <c r="Q24" s="17"/>
      <c r="R24" s="16" t="n">
        <v>1</v>
      </c>
      <c r="S24" s="16"/>
      <c r="T24" s="19" t="n">
        <f aca="false">COUNTIF(B24:S24,1)+COUNTIF(B24:S24,"IC")</f>
        <v>1</v>
      </c>
      <c r="U24" s="16" t="str">
        <f aca="false">IF(COUNTIF(B24:S24,"M")&gt;0,"N/A absence longue",IF(T24&gt;=2,"Atteint","Sous objectif"))</f>
        <v>Sous objectif</v>
      </c>
      <c r="V24" s="16"/>
    </row>
    <row r="25" customFormat="false" ht="18" hidden="false" customHeight="true" outlineLevel="0" collapsed="false">
      <c r="A25" s="15" t="s">
        <v>90</v>
      </c>
      <c r="B25" s="16"/>
      <c r="C25" s="16"/>
      <c r="D25" s="17" t="n">
        <v>1</v>
      </c>
      <c r="E25" s="16"/>
      <c r="F25" s="16"/>
      <c r="G25" s="16"/>
      <c r="H25" s="16"/>
      <c r="I25" s="17"/>
      <c r="J25" s="16"/>
      <c r="K25" s="16"/>
      <c r="L25" s="16"/>
      <c r="M25" s="17" t="n">
        <v>1</v>
      </c>
      <c r="N25" s="16"/>
      <c r="O25" s="16"/>
      <c r="P25" s="16"/>
      <c r="Q25" s="17"/>
      <c r="R25" s="16" t="n">
        <v>1</v>
      </c>
      <c r="S25" s="16"/>
      <c r="T25" s="19" t="n">
        <f aca="false">COUNTIF(B25:S25,1)+COUNTIF(B25:S25,"IC")</f>
        <v>3</v>
      </c>
      <c r="U25" s="16" t="str">
        <f aca="false">IF(COUNTIF(B25:S25,"M")&gt;0,"N/A absence longue",IF(T25&gt;=2,"Atteint","Sous objectif"))</f>
        <v>Atteint</v>
      </c>
      <c r="V25" s="16"/>
    </row>
    <row r="26" customFormat="false" ht="18" hidden="false" customHeight="true" outlineLevel="0" collapsed="false">
      <c r="A26" s="15" t="s">
        <v>98</v>
      </c>
      <c r="B26" s="16"/>
      <c r="C26" s="16"/>
      <c r="D26" s="17"/>
      <c r="E26" s="16"/>
      <c r="F26" s="16"/>
      <c r="G26" s="16"/>
      <c r="H26" s="16"/>
      <c r="I26" s="17"/>
      <c r="J26" s="16"/>
      <c r="K26" s="16"/>
      <c r="L26" s="16"/>
      <c r="M26" s="17"/>
      <c r="N26" s="16"/>
      <c r="O26" s="16"/>
      <c r="P26" s="16"/>
      <c r="Q26" s="17"/>
      <c r="R26" s="16"/>
      <c r="S26" s="16"/>
      <c r="T26" s="19" t="n">
        <f aca="false">COUNTIF(B26:S26,1)+COUNTIF(B26:S26,"IC")</f>
        <v>0</v>
      </c>
      <c r="U26" s="16" t="str">
        <f aca="false">IF(COUNTIF(B26:S26,"M")&gt;0,"N/A absence longue",IF(T26&gt;=2,"Atteint","Sous objectif"))</f>
        <v>Sous objectif</v>
      </c>
      <c r="V26" s="16"/>
    </row>
    <row r="27" customFormat="false" ht="18" hidden="false" customHeight="true" outlineLevel="0" collapsed="false">
      <c r="A27" s="15" t="s">
        <v>99</v>
      </c>
      <c r="B27" s="16"/>
      <c r="C27" s="16"/>
      <c r="D27" s="17" t="n">
        <v>1</v>
      </c>
      <c r="E27" s="16"/>
      <c r="F27" s="16"/>
      <c r="G27" s="16"/>
      <c r="H27" s="16"/>
      <c r="I27" s="17"/>
      <c r="J27" s="16"/>
      <c r="K27" s="16"/>
      <c r="L27" s="16"/>
      <c r="M27" s="17"/>
      <c r="N27" s="16"/>
      <c r="O27" s="16"/>
      <c r="P27" s="16"/>
      <c r="Q27" s="17"/>
      <c r="R27" s="16" t="n">
        <v>1</v>
      </c>
      <c r="S27" s="16"/>
      <c r="T27" s="19" t="n">
        <f aca="false">COUNTIF(B27:S27,1)+COUNTIF(B27:S27,"IC")</f>
        <v>2</v>
      </c>
      <c r="U27" s="16" t="str">
        <f aca="false">IF(COUNTIF(B27:S27,"M")&gt;0,"N/A absence longue",IF(T27&gt;=2,"Atteint","Sous objectif"))</f>
        <v>Atteint</v>
      </c>
      <c r="V27" s="16"/>
    </row>
    <row r="28" customFormat="false" ht="18" hidden="false" customHeight="true" outlineLevel="0" collapsed="false">
      <c r="A28" s="15" t="s">
        <v>96</v>
      </c>
      <c r="B28" s="16"/>
      <c r="C28" s="16"/>
      <c r="D28" s="17"/>
      <c r="E28" s="16"/>
      <c r="F28" s="16"/>
      <c r="G28" s="16"/>
      <c r="H28" s="16"/>
      <c r="I28" s="17"/>
      <c r="J28" s="16"/>
      <c r="K28" s="16"/>
      <c r="L28" s="16" t="n">
        <v>1</v>
      </c>
      <c r="M28" s="17"/>
      <c r="N28" s="16"/>
      <c r="O28" s="16"/>
      <c r="P28" s="16"/>
      <c r="Q28" s="17"/>
      <c r="R28" s="16"/>
      <c r="S28" s="16"/>
      <c r="T28" s="19" t="n">
        <f aca="false">COUNTIF(B28:S28,1)+COUNTIF(B28:S28,"IC")</f>
        <v>1</v>
      </c>
      <c r="U28" s="16" t="str">
        <f aca="false">IF(COUNTIF(B28:S28,"M")&gt;0,"N/A absence longue",IF(T28&gt;=2,"Atteint","Sous objectif"))</f>
        <v>Sous objectif</v>
      </c>
      <c r="V28" s="16"/>
    </row>
    <row r="29" customFormat="false" ht="18" hidden="false" customHeight="true" outlineLevel="0" collapsed="false">
      <c r="A29" s="15" t="s">
        <v>79</v>
      </c>
      <c r="B29" s="16"/>
      <c r="C29" s="16"/>
      <c r="D29" s="17"/>
      <c r="E29" s="16"/>
      <c r="F29" s="16"/>
      <c r="G29" s="16"/>
      <c r="H29" s="16"/>
      <c r="I29" s="17"/>
      <c r="J29" s="16"/>
      <c r="K29" s="16"/>
      <c r="L29" s="16"/>
      <c r="M29" s="17"/>
      <c r="N29" s="16"/>
      <c r="O29" s="16"/>
      <c r="P29" s="16"/>
      <c r="Q29" s="17"/>
      <c r="R29" s="16" t="n">
        <v>1</v>
      </c>
      <c r="S29" s="16"/>
      <c r="T29" s="19" t="n">
        <f aca="false">COUNTIF(B29:S29,1)+COUNTIF(B29:S29,"IC")</f>
        <v>1</v>
      </c>
      <c r="U29" s="16" t="str">
        <f aca="false">IF(COUNTIF(B29:S29,"M")&gt;0,"N/A absence longue",IF(T29&gt;=2,"Atteint","Sous objectif"))</f>
        <v>Sous objectif</v>
      </c>
      <c r="V29" s="16"/>
    </row>
    <row r="31" customFormat="false" ht="15.75" hidden="false" customHeight="true" outlineLevel="0" collapsed="false">
      <c r="A31" s="25" t="s">
        <v>129</v>
      </c>
    </row>
    <row r="32" customFormat="false" ht="15.75" hidden="false" customHeight="true" outlineLevel="0" collapsed="false">
      <c r="A32" s="26" t="s">
        <v>119</v>
      </c>
      <c r="B32" s="16"/>
      <c r="C32" s="16"/>
      <c r="D32" s="17"/>
      <c r="E32" s="16"/>
      <c r="F32" s="16"/>
      <c r="G32" s="16"/>
      <c r="H32" s="16"/>
      <c r="I32" s="17"/>
      <c r="J32" s="16"/>
      <c r="K32" s="16"/>
      <c r="L32" s="16"/>
      <c r="M32" s="17"/>
      <c r="N32" s="16"/>
      <c r="O32" s="16"/>
      <c r="P32" s="16"/>
      <c r="Q32" s="17"/>
      <c r="R32" s="16" t="s">
        <v>18</v>
      </c>
      <c r="S32" s="16"/>
      <c r="T32" s="16"/>
    </row>
    <row r="33" customFormat="false" ht="15.75" hidden="false" customHeight="true" outlineLevel="0" collapsed="false">
      <c r="A33" s="26" t="s">
        <v>117</v>
      </c>
      <c r="B33" s="16"/>
      <c r="C33" s="16"/>
      <c r="D33" s="17" t="s">
        <v>18</v>
      </c>
      <c r="E33" s="16"/>
      <c r="F33" s="16"/>
      <c r="G33" s="16"/>
      <c r="H33" s="16"/>
      <c r="I33" s="17"/>
      <c r="J33" s="16"/>
      <c r="K33" s="16"/>
      <c r="L33" s="16"/>
      <c r="M33" s="17"/>
      <c r="N33" s="16"/>
      <c r="O33" s="16"/>
      <c r="P33" s="16"/>
      <c r="Q33" s="17"/>
      <c r="R33" s="16"/>
      <c r="S33" s="16"/>
      <c r="T33" s="16"/>
    </row>
    <row r="34" customFormat="false" ht="15.75" hidden="false" customHeight="true" outlineLevel="0" collapsed="false">
      <c r="A34" s="26" t="s">
        <v>130</v>
      </c>
      <c r="B34" s="16"/>
      <c r="C34" s="16"/>
      <c r="D34" s="17"/>
      <c r="E34" s="16"/>
      <c r="F34" s="16"/>
      <c r="G34" s="16"/>
      <c r="H34" s="16"/>
      <c r="I34" s="17"/>
      <c r="J34" s="16"/>
      <c r="K34" s="16"/>
      <c r="L34" s="16"/>
      <c r="M34" s="17"/>
      <c r="N34" s="16"/>
      <c r="O34" s="16"/>
      <c r="P34" s="16"/>
      <c r="Q34" s="17"/>
      <c r="R34" s="16"/>
      <c r="S34" s="16"/>
      <c r="T34" s="16"/>
    </row>
  </sheetData>
  <mergeCells count="1">
    <mergeCell ref="A1:U1"/>
  </mergeCells>
  <conditionalFormatting sqref="B4:S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S34">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4:S29" type="list">
      <formula1>"1,IC,M"</formula1>
      <formula2>0</formula2>
    </dataValidation>
    <dataValidation allowBlank="true" errorStyle="stop" operator="between" showDropDown="false" showErrorMessage="false" showInputMessage="false" sqref="B32:S34" type="list">
      <formula1>"X"</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9" t="s">
        <v>134</v>
      </c>
      <c r="B1" s="9"/>
      <c r="C1" s="9"/>
      <c r="D1" s="9"/>
      <c r="E1" s="9"/>
      <c r="F1" s="9"/>
      <c r="G1" s="9"/>
      <c r="H1" s="9"/>
      <c r="I1" s="9"/>
      <c r="J1" s="9"/>
      <c r="K1" s="9"/>
      <c r="L1" s="9"/>
      <c r="M1" s="9"/>
      <c r="N1" s="9"/>
      <c r="O1" s="9"/>
      <c r="P1" s="9"/>
      <c r="Q1" s="9"/>
      <c r="R1" s="9"/>
      <c r="S1" s="9"/>
      <c r="T1" s="9"/>
      <c r="U1" s="9"/>
      <c r="V1" s="9"/>
      <c r="W1" s="9"/>
      <c r="X1" s="9"/>
      <c r="Y1" s="9"/>
    </row>
    <row r="3" customFormat="false" ht="21.75" hidden="false" customHeight="true" outlineLevel="0" collapsed="false">
      <c r="A3" s="10" t="s">
        <v>74</v>
      </c>
      <c r="B3" s="11" t="n">
        <v>46174</v>
      </c>
      <c r="C3" s="11" t="n">
        <v>46175</v>
      </c>
      <c r="D3" s="11" t="n">
        <v>46176</v>
      </c>
      <c r="E3" s="11" t="n">
        <v>46177</v>
      </c>
      <c r="F3" s="11" t="n">
        <v>46178</v>
      </c>
      <c r="G3" s="11" t="n">
        <v>46181</v>
      </c>
      <c r="H3" s="11" t="n">
        <v>46182</v>
      </c>
      <c r="I3" s="11" t="n">
        <v>46183</v>
      </c>
      <c r="J3" s="11" t="n">
        <v>46184</v>
      </c>
      <c r="K3" s="11" t="n">
        <v>46185</v>
      </c>
      <c r="L3" s="11" t="n">
        <v>46188</v>
      </c>
      <c r="M3" s="11" t="n">
        <v>46189</v>
      </c>
      <c r="N3" s="11" t="n">
        <v>46190</v>
      </c>
      <c r="O3" s="11" t="n">
        <v>46191</v>
      </c>
      <c r="P3" s="11" t="n">
        <v>46192</v>
      </c>
      <c r="Q3" s="11" t="n">
        <v>46195</v>
      </c>
      <c r="R3" s="11" t="n">
        <v>46196</v>
      </c>
      <c r="S3" s="11" t="n">
        <v>46197</v>
      </c>
      <c r="T3" s="11" t="n">
        <v>46198</v>
      </c>
      <c r="U3" s="11" t="n">
        <v>46199</v>
      </c>
      <c r="V3" s="11" t="n">
        <v>46202</v>
      </c>
      <c r="W3" s="11" t="n">
        <v>46203</v>
      </c>
      <c r="X3" s="13" t="s">
        <v>127</v>
      </c>
      <c r="Y3" s="14" t="s">
        <v>128</v>
      </c>
    </row>
    <row r="4" customFormat="false" ht="18" hidden="false" customHeight="true" outlineLevel="0" collapsed="false">
      <c r="A4" s="15" t="s">
        <v>88</v>
      </c>
      <c r="B4" s="16"/>
      <c r="C4" s="16"/>
      <c r="D4" s="16"/>
      <c r="E4" s="17"/>
      <c r="F4" s="16"/>
      <c r="G4" s="16"/>
      <c r="H4" s="16" t="n">
        <v>1</v>
      </c>
      <c r="I4" s="16"/>
      <c r="J4" s="17"/>
      <c r="K4" s="16"/>
      <c r="L4" s="16"/>
      <c r="M4" s="16"/>
      <c r="N4" s="16"/>
      <c r="O4" s="17"/>
      <c r="P4" s="16" t="n">
        <v>1</v>
      </c>
      <c r="Q4" s="16"/>
      <c r="R4" s="16"/>
      <c r="S4" s="16"/>
      <c r="T4" s="17"/>
      <c r="U4" s="16"/>
      <c r="V4" s="16"/>
      <c r="W4" s="16"/>
      <c r="X4" s="19" t="n">
        <f aca="false">COUNTIF(B4:W4,1)+COUNTIF(B4:W4,"IC")</f>
        <v>2</v>
      </c>
      <c r="Y4" s="16" t="str">
        <f aca="false">IF(COUNTIF(B4:W4,"M")&gt;0,"N/A absence longue",IF(X4&gt;=2,"Atteint","Sous objectif"))</f>
        <v>Atteint</v>
      </c>
    </row>
    <row r="5" customFormat="false" ht="18" hidden="false" customHeight="true" outlineLevel="0" collapsed="false">
      <c r="A5" s="15" t="s">
        <v>103</v>
      </c>
      <c r="B5" s="16" t="s">
        <v>9</v>
      </c>
      <c r="C5" s="16" t="s">
        <v>9</v>
      </c>
      <c r="D5" s="16"/>
      <c r="E5" s="17" t="s">
        <v>9</v>
      </c>
      <c r="F5" s="16"/>
      <c r="G5" s="16" t="s">
        <v>9</v>
      </c>
      <c r="H5" s="16" t="s">
        <v>9</v>
      </c>
      <c r="I5" s="16"/>
      <c r="J5" s="17" t="s">
        <v>9</v>
      </c>
      <c r="K5" s="16"/>
      <c r="L5" s="16" t="s">
        <v>9</v>
      </c>
      <c r="M5" s="16"/>
      <c r="N5" s="16"/>
      <c r="O5" s="17" t="s">
        <v>9</v>
      </c>
      <c r="P5" s="16" t="s">
        <v>9</v>
      </c>
      <c r="Q5" s="16"/>
      <c r="R5" s="16"/>
      <c r="S5" s="16"/>
      <c r="T5" s="17"/>
      <c r="U5" s="16"/>
      <c r="V5" s="16"/>
      <c r="W5" s="16"/>
      <c r="X5" s="19" t="n">
        <f aca="false">COUNTIF(B5:W5,1)+COUNTIF(B5:W5,"IC")</f>
        <v>9</v>
      </c>
      <c r="Y5" s="16" t="str">
        <f aca="false">IF(COUNTIF(B5:W5,"M")&gt;0,"N/A absence longue",IF(X5&gt;=2,"Atteint","Sous objectif"))</f>
        <v>Atteint</v>
      </c>
    </row>
    <row r="6" customFormat="false" ht="18" hidden="false" customHeight="true" outlineLevel="0" collapsed="false">
      <c r="A6" s="15" t="s">
        <v>85</v>
      </c>
      <c r="B6" s="16"/>
      <c r="C6" s="16"/>
      <c r="D6" s="16"/>
      <c r="E6" s="17"/>
      <c r="F6" s="16"/>
      <c r="G6" s="16"/>
      <c r="H6" s="16"/>
      <c r="I6" s="16"/>
      <c r="J6" s="17"/>
      <c r="K6" s="16"/>
      <c r="L6" s="16"/>
      <c r="M6" s="16"/>
      <c r="N6" s="16"/>
      <c r="O6" s="17"/>
      <c r="P6" s="16"/>
      <c r="Q6" s="16" t="n">
        <v>1</v>
      </c>
      <c r="R6" s="16"/>
      <c r="S6" s="16"/>
      <c r="T6" s="17"/>
      <c r="U6" s="16"/>
      <c r="V6" s="16"/>
      <c r="W6" s="16"/>
      <c r="X6" s="19" t="n">
        <f aca="false">COUNTIF(B6:W6,1)+COUNTIF(B6:W6,"IC")</f>
        <v>1</v>
      </c>
      <c r="Y6" s="16" t="str">
        <f aca="false">IF(COUNTIF(B6:W6,"M")&gt;0,"N/A absence longue",IF(X6&gt;=2,"Atteint","Sous objectif"))</f>
        <v>Sous objectif</v>
      </c>
    </row>
    <row r="7" customFormat="false" ht="18" hidden="false" customHeight="true" outlineLevel="0" collapsed="false">
      <c r="A7" s="15" t="s">
        <v>95</v>
      </c>
      <c r="B7" s="16"/>
      <c r="C7" s="16"/>
      <c r="D7" s="16" t="n">
        <v>1</v>
      </c>
      <c r="E7" s="17"/>
      <c r="F7" s="16"/>
      <c r="G7" s="16"/>
      <c r="H7" s="16" t="n">
        <v>1</v>
      </c>
      <c r="I7" s="16"/>
      <c r="J7" s="17" t="n">
        <v>1</v>
      </c>
      <c r="K7" s="16"/>
      <c r="L7" s="16"/>
      <c r="M7" s="16" t="n">
        <v>1</v>
      </c>
      <c r="N7" s="16"/>
      <c r="O7" s="17" t="n">
        <v>1</v>
      </c>
      <c r="P7" s="16" t="n">
        <v>1</v>
      </c>
      <c r="Q7" s="16"/>
      <c r="R7" s="16" t="n">
        <v>1</v>
      </c>
      <c r="S7" s="16"/>
      <c r="T7" s="17"/>
      <c r="U7" s="16"/>
      <c r="V7" s="16"/>
      <c r="W7" s="16"/>
      <c r="X7" s="19" t="n">
        <f aca="false">COUNTIF(B7:W7,1)+COUNTIF(B7:W7,"IC")</f>
        <v>7</v>
      </c>
      <c r="Y7" s="16" t="str">
        <f aca="false">IF(COUNTIF(B7:W7,"M")&gt;0,"N/A absence longue",IF(X7&gt;=2,"Atteint","Sous objectif"))</f>
        <v>Atteint</v>
      </c>
    </row>
    <row r="8" customFormat="false" ht="18" hidden="false" customHeight="true" outlineLevel="0" collapsed="false">
      <c r="A8" s="15" t="s">
        <v>112</v>
      </c>
      <c r="B8" s="16" t="s">
        <v>9</v>
      </c>
      <c r="C8" s="16" t="s">
        <v>9</v>
      </c>
      <c r="D8" s="16" t="s">
        <v>9</v>
      </c>
      <c r="E8" s="17" t="s">
        <v>9</v>
      </c>
      <c r="F8" s="16"/>
      <c r="G8" s="16" t="s">
        <v>9</v>
      </c>
      <c r="H8" s="16" t="s">
        <v>9</v>
      </c>
      <c r="I8" s="16"/>
      <c r="J8" s="17" t="s">
        <v>9</v>
      </c>
      <c r="K8" s="16"/>
      <c r="L8" s="16" t="s">
        <v>9</v>
      </c>
      <c r="M8" s="16" t="s">
        <v>9</v>
      </c>
      <c r="N8" s="16" t="s">
        <v>9</v>
      </c>
      <c r="O8" s="17" t="s">
        <v>9</v>
      </c>
      <c r="P8" s="16" t="s">
        <v>9</v>
      </c>
      <c r="Q8" s="16" t="s">
        <v>9</v>
      </c>
      <c r="R8" s="16" t="s">
        <v>9</v>
      </c>
      <c r="S8" s="16"/>
      <c r="T8" s="17" t="s">
        <v>9</v>
      </c>
      <c r="U8" s="16"/>
      <c r="V8" s="16" t="s">
        <v>9</v>
      </c>
      <c r="W8" s="16" t="s">
        <v>9</v>
      </c>
      <c r="X8" s="19" t="n">
        <f aca="false">COUNTIF(B8:W8,1)+COUNTIF(B8:W8,"IC")</f>
        <v>17</v>
      </c>
      <c r="Y8" s="16" t="str">
        <f aca="false">IF(COUNTIF(B8:W8,"M")&gt;0,"N/A absence longue",IF(X8&gt;=2,"Atteint","Sous objectif"))</f>
        <v>Atteint</v>
      </c>
    </row>
    <row r="9" customFormat="false" ht="18" hidden="false" customHeight="true" outlineLevel="0" collapsed="false">
      <c r="A9" s="15" t="s">
        <v>94</v>
      </c>
      <c r="B9" s="16"/>
      <c r="C9" s="16"/>
      <c r="D9" s="16"/>
      <c r="E9" s="17" t="n">
        <v>1</v>
      </c>
      <c r="F9" s="16"/>
      <c r="G9" s="16"/>
      <c r="H9" s="16"/>
      <c r="I9" s="16"/>
      <c r="J9" s="17"/>
      <c r="K9" s="16"/>
      <c r="L9" s="16"/>
      <c r="M9" s="16"/>
      <c r="N9" s="16"/>
      <c r="O9" s="17"/>
      <c r="P9" s="16"/>
      <c r="Q9" s="16"/>
      <c r="R9" s="16"/>
      <c r="S9" s="16"/>
      <c r="T9" s="17" t="n">
        <v>1</v>
      </c>
      <c r="U9" s="16"/>
      <c r="V9" s="16"/>
      <c r="W9" s="16"/>
      <c r="X9" s="19" t="n">
        <f aca="false">COUNTIF(B9:W9,1)+COUNTIF(B9:W9,"IC")</f>
        <v>2</v>
      </c>
      <c r="Y9" s="16" t="str">
        <f aca="false">IF(COUNTIF(B9:W9,"M")&gt;0,"N/A absence longue",IF(X9&gt;=2,"Atteint","Sous objectif"))</f>
        <v>Atteint</v>
      </c>
    </row>
    <row r="10" customFormat="false" ht="18" hidden="false" customHeight="true" outlineLevel="0" collapsed="false">
      <c r="A10" s="15" t="s">
        <v>82</v>
      </c>
      <c r="B10" s="16" t="n">
        <v>1</v>
      </c>
      <c r="C10" s="16"/>
      <c r="D10" s="16"/>
      <c r="E10" s="17"/>
      <c r="F10" s="16"/>
      <c r="G10" s="16"/>
      <c r="H10" s="16"/>
      <c r="I10" s="16"/>
      <c r="J10" s="17"/>
      <c r="K10" s="16"/>
      <c r="L10" s="16"/>
      <c r="M10" s="16"/>
      <c r="N10" s="16"/>
      <c r="O10" s="17"/>
      <c r="P10" s="16" t="n">
        <v>1</v>
      </c>
      <c r="Q10" s="16"/>
      <c r="R10" s="16"/>
      <c r="S10" s="16" t="n">
        <v>1</v>
      </c>
      <c r="T10" s="17"/>
      <c r="U10" s="16"/>
      <c r="V10" s="16"/>
      <c r="W10" s="16"/>
      <c r="X10" s="19" t="n">
        <f aca="false">COUNTIF(B10:W10,1)+COUNTIF(B10:W10,"IC")</f>
        <v>3</v>
      </c>
      <c r="Y10" s="16" t="str">
        <f aca="false">IF(COUNTIF(B10:W10,"M")&gt;0,"N/A absence longue",IF(X10&gt;=2,"Atteint","Sous objectif"))</f>
        <v>Atteint</v>
      </c>
    </row>
    <row r="11" customFormat="false" ht="18" hidden="false" customHeight="true" outlineLevel="0" collapsed="false">
      <c r="A11" s="15" t="s">
        <v>97</v>
      </c>
      <c r="B11" s="16"/>
      <c r="C11" s="16"/>
      <c r="D11" s="16"/>
      <c r="E11" s="17" t="n">
        <v>1</v>
      </c>
      <c r="F11" s="16"/>
      <c r="G11" s="16"/>
      <c r="H11" s="16" t="n">
        <v>1</v>
      </c>
      <c r="I11" s="16"/>
      <c r="J11" s="17" t="n">
        <v>1</v>
      </c>
      <c r="K11" s="16"/>
      <c r="L11" s="16"/>
      <c r="M11" s="16" t="n">
        <v>1</v>
      </c>
      <c r="N11" s="16"/>
      <c r="O11" s="17"/>
      <c r="P11" s="16" t="n">
        <v>1</v>
      </c>
      <c r="Q11" s="16"/>
      <c r="R11" s="16" t="n">
        <v>1</v>
      </c>
      <c r="S11" s="16"/>
      <c r="T11" s="17" t="n">
        <v>1</v>
      </c>
      <c r="U11" s="16"/>
      <c r="V11" s="16"/>
      <c r="W11" s="16" t="n">
        <v>1</v>
      </c>
      <c r="X11" s="19" t="n">
        <f aca="false">COUNTIF(B11:W11,1)+COUNTIF(B11:W11,"IC")</f>
        <v>8</v>
      </c>
      <c r="Y11" s="16" t="str">
        <f aca="false">IF(COUNTIF(B11:W11,"M")&gt;0,"N/A absence longue",IF(X11&gt;=2,"Atteint","Sous objectif"))</f>
        <v>Atteint</v>
      </c>
    </row>
    <row r="12" customFormat="false" ht="18" hidden="false" customHeight="true" outlineLevel="0" collapsed="false">
      <c r="A12" s="15" t="s">
        <v>93</v>
      </c>
      <c r="B12" s="16"/>
      <c r="C12" s="16"/>
      <c r="D12" s="16"/>
      <c r="E12" s="17"/>
      <c r="F12" s="16"/>
      <c r="G12" s="16"/>
      <c r="H12" s="16"/>
      <c r="I12" s="16"/>
      <c r="J12" s="17"/>
      <c r="K12" s="16"/>
      <c r="L12" s="16"/>
      <c r="M12" s="16"/>
      <c r="N12" s="16"/>
      <c r="O12" s="17"/>
      <c r="P12" s="16" t="n">
        <v>1</v>
      </c>
      <c r="Q12" s="16"/>
      <c r="R12" s="16"/>
      <c r="S12" s="16"/>
      <c r="T12" s="17"/>
      <c r="U12" s="16"/>
      <c r="V12" s="16"/>
      <c r="W12" s="16" t="n">
        <v>1</v>
      </c>
      <c r="X12" s="19" t="n">
        <f aca="false">COUNTIF(B12:W12,1)+COUNTIF(B12:W12,"IC")</f>
        <v>2</v>
      </c>
      <c r="Y12" s="16" t="str">
        <f aca="false">IF(COUNTIF(B12:W12,"M")&gt;0,"N/A absence longue",IF(X12&gt;=2,"Atteint","Sous objectif"))</f>
        <v>Atteint</v>
      </c>
    </row>
    <row r="13" customFormat="false" ht="18" hidden="false" customHeight="true" outlineLevel="0" collapsed="false">
      <c r="A13" s="15" t="s">
        <v>81</v>
      </c>
      <c r="B13" s="16"/>
      <c r="C13" s="16"/>
      <c r="D13" s="16"/>
      <c r="E13" s="17" t="n">
        <v>1</v>
      </c>
      <c r="F13" s="16"/>
      <c r="G13" s="16"/>
      <c r="H13" s="16"/>
      <c r="I13" s="16"/>
      <c r="J13" s="17"/>
      <c r="K13" s="16"/>
      <c r="L13" s="16"/>
      <c r="M13" s="16"/>
      <c r="N13" s="16"/>
      <c r="O13" s="17"/>
      <c r="P13" s="16" t="n">
        <v>1</v>
      </c>
      <c r="Q13" s="16"/>
      <c r="R13" s="16"/>
      <c r="S13" s="16"/>
      <c r="T13" s="17"/>
      <c r="U13" s="16"/>
      <c r="V13" s="16"/>
      <c r="W13" s="16"/>
      <c r="X13" s="19" t="n">
        <f aca="false">COUNTIF(B13:W13,1)+COUNTIF(B13:W13,"IC")</f>
        <v>2</v>
      </c>
      <c r="Y13" s="16" t="str">
        <f aca="false">IF(COUNTIF(B13:W13,"M")&gt;0,"N/A absence longue",IF(X13&gt;=2,"Atteint","Sous objectif"))</f>
        <v>Atteint</v>
      </c>
    </row>
    <row r="14" customFormat="false" ht="18" hidden="false" customHeight="true" outlineLevel="0" collapsed="false">
      <c r="A14" s="15" t="s">
        <v>78</v>
      </c>
      <c r="B14" s="16"/>
      <c r="C14" s="16"/>
      <c r="D14" s="16"/>
      <c r="E14" s="17"/>
      <c r="F14" s="16"/>
      <c r="G14" s="16" t="n">
        <v>1</v>
      </c>
      <c r="H14" s="16"/>
      <c r="I14" s="16"/>
      <c r="J14" s="17"/>
      <c r="K14" s="16"/>
      <c r="L14" s="16"/>
      <c r="M14" s="16"/>
      <c r="N14" s="16"/>
      <c r="O14" s="17"/>
      <c r="P14" s="16" t="n">
        <v>1</v>
      </c>
      <c r="Q14" s="16"/>
      <c r="R14" s="16"/>
      <c r="S14" s="16"/>
      <c r="T14" s="17"/>
      <c r="U14" s="16"/>
      <c r="V14" s="16"/>
      <c r="W14" s="16"/>
      <c r="X14" s="19" t="n">
        <f aca="false">COUNTIF(B14:W14,1)+COUNTIF(B14:W14,"IC")</f>
        <v>2</v>
      </c>
      <c r="Y14" s="16" t="str">
        <f aca="false">IF(COUNTIF(B14:W14,"M")&gt;0,"N/A absence longue",IF(X14&gt;=2,"Atteint","Sous objectif"))</f>
        <v>Atteint</v>
      </c>
    </row>
    <row r="15" customFormat="false" ht="18" hidden="false" customHeight="true" outlineLevel="0" collapsed="false">
      <c r="A15" s="15" t="s">
        <v>101</v>
      </c>
      <c r="B15" s="16"/>
      <c r="C15" s="16"/>
      <c r="D15" s="16" t="n">
        <v>1</v>
      </c>
      <c r="E15" s="17"/>
      <c r="F15" s="16"/>
      <c r="G15" s="16"/>
      <c r="H15" s="16" t="n">
        <v>1</v>
      </c>
      <c r="I15" s="16"/>
      <c r="J15" s="17"/>
      <c r="K15" s="16"/>
      <c r="L15" s="16"/>
      <c r="M15" s="16"/>
      <c r="N15" s="16"/>
      <c r="O15" s="17"/>
      <c r="P15" s="16"/>
      <c r="Q15" s="16"/>
      <c r="R15" s="16"/>
      <c r="S15" s="16"/>
      <c r="T15" s="17"/>
      <c r="U15" s="16"/>
      <c r="V15" s="16"/>
      <c r="W15" s="16" t="n">
        <v>1</v>
      </c>
      <c r="X15" s="19" t="n">
        <f aca="false">COUNTIF(B15:W15,1)+COUNTIF(B15:W15,"IC")</f>
        <v>3</v>
      </c>
      <c r="Y15" s="16" t="str">
        <f aca="false">IF(COUNTIF(B15:W15,"M")&gt;0,"N/A absence longue",IF(X15&gt;=2,"Atteint","Sous objectif"))</f>
        <v>Atteint</v>
      </c>
    </row>
    <row r="16" customFormat="false" ht="18" hidden="false" customHeight="true" outlineLevel="0" collapsed="false">
      <c r="A16" s="15" t="s">
        <v>89</v>
      </c>
      <c r="B16" s="16"/>
      <c r="C16" s="16" t="n">
        <v>1</v>
      </c>
      <c r="D16" s="16"/>
      <c r="E16" s="17"/>
      <c r="F16" s="16"/>
      <c r="G16" s="16"/>
      <c r="H16" s="16" t="n">
        <v>1</v>
      </c>
      <c r="I16" s="16"/>
      <c r="J16" s="17"/>
      <c r="K16" s="16"/>
      <c r="L16" s="16"/>
      <c r="M16" s="16"/>
      <c r="N16" s="16"/>
      <c r="O16" s="17"/>
      <c r="P16" s="16" t="n">
        <v>1</v>
      </c>
      <c r="Q16" s="16"/>
      <c r="R16" s="16" t="n">
        <v>1</v>
      </c>
      <c r="S16" s="16"/>
      <c r="T16" s="17" t="n">
        <v>1</v>
      </c>
      <c r="U16" s="16"/>
      <c r="V16" s="16"/>
      <c r="W16" s="16" t="n">
        <v>1</v>
      </c>
      <c r="X16" s="19" t="n">
        <f aca="false">COUNTIF(B16:W16,1)+COUNTIF(B16:W16,"IC")</f>
        <v>6</v>
      </c>
      <c r="Y16" s="16" t="str">
        <f aca="false">IF(COUNTIF(B16:W16,"M")&gt;0,"N/A absence longue",IF(X16&gt;=2,"Atteint","Sous objectif"))</f>
        <v>Atteint</v>
      </c>
    </row>
    <row r="17" customFormat="false" ht="18" hidden="false" customHeight="true" outlineLevel="0" collapsed="false">
      <c r="A17" s="15" t="s">
        <v>102</v>
      </c>
      <c r="B17" s="16"/>
      <c r="C17" s="16"/>
      <c r="D17" s="16"/>
      <c r="E17" s="17"/>
      <c r="F17" s="16"/>
      <c r="G17" s="16"/>
      <c r="H17" s="16"/>
      <c r="I17" s="16"/>
      <c r="J17" s="17"/>
      <c r="K17" s="16"/>
      <c r="L17" s="16"/>
      <c r="M17" s="16"/>
      <c r="N17" s="16"/>
      <c r="O17" s="17"/>
      <c r="P17" s="16"/>
      <c r="Q17" s="16"/>
      <c r="R17" s="16" t="n">
        <v>1</v>
      </c>
      <c r="S17" s="16"/>
      <c r="T17" s="17"/>
      <c r="U17" s="16"/>
      <c r="V17" s="16"/>
      <c r="W17" s="16" t="n">
        <v>1</v>
      </c>
      <c r="X17" s="19" t="n">
        <f aca="false">COUNTIF(B17:W17,1)+COUNTIF(B17:W17,"IC")</f>
        <v>2</v>
      </c>
      <c r="Y17" s="16" t="str">
        <f aca="false">IF(COUNTIF(B17:W17,"M")&gt;0,"N/A absence longue",IF(X17&gt;=2,"Atteint","Sous objectif"))</f>
        <v>Atteint</v>
      </c>
    </row>
    <row r="18" customFormat="false" ht="18" hidden="false" customHeight="true" outlineLevel="0" collapsed="false">
      <c r="A18" s="15" t="s">
        <v>86</v>
      </c>
      <c r="B18" s="16"/>
      <c r="C18" s="16" t="s">
        <v>9</v>
      </c>
      <c r="D18" s="16"/>
      <c r="E18" s="17" t="s">
        <v>9</v>
      </c>
      <c r="F18" s="16"/>
      <c r="G18" s="16" t="s">
        <v>9</v>
      </c>
      <c r="H18" s="16" t="s">
        <v>9</v>
      </c>
      <c r="I18" s="16"/>
      <c r="J18" s="17" t="s">
        <v>9</v>
      </c>
      <c r="K18" s="16"/>
      <c r="L18" s="16" t="s">
        <v>9</v>
      </c>
      <c r="M18" s="16"/>
      <c r="N18" s="16"/>
      <c r="O18" s="17" t="s">
        <v>9</v>
      </c>
      <c r="P18" s="16" t="s">
        <v>9</v>
      </c>
      <c r="Q18" s="16" t="s">
        <v>9</v>
      </c>
      <c r="R18" s="16" t="s">
        <v>9</v>
      </c>
      <c r="S18" s="16"/>
      <c r="T18" s="17" t="s">
        <v>9</v>
      </c>
      <c r="U18" s="16"/>
      <c r="V18" s="16" t="s">
        <v>9</v>
      </c>
      <c r="W18" s="16" t="s">
        <v>9</v>
      </c>
      <c r="X18" s="19" t="n">
        <f aca="false">COUNTIF(B18:W18,1)+COUNTIF(B18:W18,"IC")</f>
        <v>13</v>
      </c>
      <c r="Y18" s="16" t="str">
        <f aca="false">IF(COUNTIF(B18:W18,"M")&gt;0,"N/A absence longue",IF(X18&gt;=2,"Atteint","Sous objectif"))</f>
        <v>Atteint</v>
      </c>
    </row>
    <row r="19" customFormat="false" ht="18" hidden="false" customHeight="true" outlineLevel="0" collapsed="false">
      <c r="A19" s="15" t="s">
        <v>92</v>
      </c>
      <c r="B19" s="16"/>
      <c r="C19" s="16"/>
      <c r="D19" s="16"/>
      <c r="E19" s="17"/>
      <c r="F19" s="16"/>
      <c r="G19" s="16"/>
      <c r="H19" s="16"/>
      <c r="I19" s="16"/>
      <c r="J19" s="17"/>
      <c r="K19" s="16"/>
      <c r="L19" s="16"/>
      <c r="M19" s="16"/>
      <c r="N19" s="16"/>
      <c r="O19" s="17"/>
      <c r="P19" s="16" t="n">
        <v>1</v>
      </c>
      <c r="Q19" s="16"/>
      <c r="R19" s="16" t="n">
        <v>1</v>
      </c>
      <c r="S19" s="16"/>
      <c r="T19" s="17"/>
      <c r="U19" s="16"/>
      <c r="V19" s="16"/>
      <c r="W19" s="16" t="n">
        <v>1</v>
      </c>
      <c r="X19" s="19" t="n">
        <f aca="false">COUNTIF(B19:W19,1)+COUNTIF(B19:W19,"IC")</f>
        <v>3</v>
      </c>
      <c r="Y19" s="16" t="str">
        <f aca="false">IF(COUNTIF(B19:W19,"M")&gt;0,"N/A absence longue",IF(X19&gt;=2,"Atteint","Sous objectif"))</f>
        <v>Atteint</v>
      </c>
    </row>
    <row r="20" customFormat="false" ht="18" hidden="false" customHeight="true" outlineLevel="0" collapsed="false">
      <c r="A20" s="15" t="s">
        <v>100</v>
      </c>
      <c r="B20" s="16"/>
      <c r="C20" s="16"/>
      <c r="D20" s="16"/>
      <c r="E20" s="17"/>
      <c r="F20" s="16"/>
      <c r="G20" s="16"/>
      <c r="H20" s="16"/>
      <c r="I20" s="16"/>
      <c r="J20" s="17"/>
      <c r="K20" s="16"/>
      <c r="L20" s="16"/>
      <c r="M20" s="16"/>
      <c r="N20" s="16"/>
      <c r="O20" s="17"/>
      <c r="P20" s="16" t="n">
        <v>1</v>
      </c>
      <c r="Q20" s="16"/>
      <c r="R20" s="16"/>
      <c r="S20" s="16"/>
      <c r="T20" s="17"/>
      <c r="U20" s="16"/>
      <c r="V20" s="16"/>
      <c r="W20" s="16"/>
      <c r="X20" s="19" t="n">
        <f aca="false">COUNTIF(B20:W20,1)+COUNTIF(B20:W20,"IC")</f>
        <v>1</v>
      </c>
      <c r="Y20" s="16" t="str">
        <f aca="false">IF(COUNTIF(B20:W20,"M")&gt;0,"N/A absence longue",IF(X20&gt;=2,"Atteint","Sous objectif"))</f>
        <v>Sous objectif</v>
      </c>
    </row>
    <row r="21" customFormat="false" ht="18" hidden="false" customHeight="true" outlineLevel="0" collapsed="false">
      <c r="A21" s="15" t="s">
        <v>91</v>
      </c>
      <c r="B21" s="16" t="n">
        <v>1</v>
      </c>
      <c r="C21" s="16"/>
      <c r="D21" s="16"/>
      <c r="E21" s="17"/>
      <c r="F21" s="16"/>
      <c r="G21" s="16" t="n">
        <v>1</v>
      </c>
      <c r="H21" s="16"/>
      <c r="I21" s="16"/>
      <c r="J21" s="17"/>
      <c r="K21" s="16"/>
      <c r="L21" s="16"/>
      <c r="M21" s="16"/>
      <c r="N21" s="16" t="n">
        <v>1</v>
      </c>
      <c r="O21" s="17"/>
      <c r="P21" s="16" t="n">
        <v>1</v>
      </c>
      <c r="Q21" s="16"/>
      <c r="R21" s="16"/>
      <c r="S21" s="16"/>
      <c r="T21" s="17"/>
      <c r="U21" s="16"/>
      <c r="V21" s="16"/>
      <c r="W21" s="16"/>
      <c r="X21" s="19" t="n">
        <f aca="false">COUNTIF(B21:W21,1)+COUNTIF(B21:W21,"IC")</f>
        <v>4</v>
      </c>
      <c r="Y21" s="16" t="str">
        <f aca="false">IF(COUNTIF(B21:W21,"M")&gt;0,"N/A absence longue",IF(X21&gt;=2,"Atteint","Sous objectif"))</f>
        <v>Atteint</v>
      </c>
    </row>
    <row r="22" customFormat="false" ht="18" hidden="false" customHeight="true" outlineLevel="0" collapsed="false">
      <c r="A22" s="15" t="s">
        <v>83</v>
      </c>
      <c r="B22" s="16"/>
      <c r="C22" s="16"/>
      <c r="D22" s="16"/>
      <c r="E22" s="17" t="n">
        <v>1</v>
      </c>
      <c r="F22" s="16" t="n">
        <v>1</v>
      </c>
      <c r="G22" s="16"/>
      <c r="H22" s="16" t="n">
        <v>1</v>
      </c>
      <c r="I22" s="16"/>
      <c r="J22" s="17"/>
      <c r="K22" s="16"/>
      <c r="L22" s="16"/>
      <c r="M22" s="16" t="n">
        <v>1</v>
      </c>
      <c r="N22" s="16"/>
      <c r="O22" s="17" t="s">
        <v>135</v>
      </c>
      <c r="P22" s="16" t="n">
        <v>1</v>
      </c>
      <c r="Q22" s="16" t="n">
        <v>1</v>
      </c>
      <c r="R22" s="16" t="n">
        <v>1</v>
      </c>
      <c r="S22" s="16"/>
      <c r="T22" s="17" t="n">
        <v>1</v>
      </c>
      <c r="U22" s="16" t="n">
        <v>1</v>
      </c>
      <c r="V22" s="16"/>
      <c r="W22" s="16" t="n">
        <v>1</v>
      </c>
      <c r="X22" s="19" t="n">
        <f aca="false">COUNTIF(B22:W22,1)+COUNTIF(B22:W22,"IC")</f>
        <v>10</v>
      </c>
      <c r="Y22" s="16" t="str">
        <f aca="false">IF(COUNTIF(B22:W22,"M")&gt;0,"N/A absence longue",IF(X22&gt;=2,"Atteint","Sous objectif"))</f>
        <v>Atteint</v>
      </c>
    </row>
    <row r="23" customFormat="false" ht="18" hidden="false" customHeight="true" outlineLevel="0" collapsed="false">
      <c r="A23" s="15" t="s">
        <v>84</v>
      </c>
      <c r="B23" s="16"/>
      <c r="C23" s="16"/>
      <c r="D23" s="16"/>
      <c r="E23" s="17" t="n">
        <v>1</v>
      </c>
      <c r="F23" s="16"/>
      <c r="G23" s="16"/>
      <c r="H23" s="16"/>
      <c r="I23" s="16"/>
      <c r="J23" s="17"/>
      <c r="K23" s="16"/>
      <c r="L23" s="16"/>
      <c r="M23" s="16"/>
      <c r="N23" s="16"/>
      <c r="O23" s="17"/>
      <c r="P23" s="16"/>
      <c r="Q23" s="16"/>
      <c r="R23" s="16"/>
      <c r="S23" s="16"/>
      <c r="T23" s="17"/>
      <c r="U23" s="16"/>
      <c r="V23" s="16"/>
      <c r="W23" s="16"/>
      <c r="X23" s="19" t="n">
        <f aca="false">COUNTIF(B23:W23,1)+COUNTIF(B23:W23,"IC")</f>
        <v>1</v>
      </c>
      <c r="Y23" s="16" t="str">
        <f aca="false">IF(COUNTIF(B23:W23,"M")&gt;0,"N/A absence longue",IF(X23&gt;=2,"Atteint","Sous objectif"))</f>
        <v>Sous objectif</v>
      </c>
    </row>
    <row r="24" customFormat="false" ht="18" hidden="false" customHeight="true" outlineLevel="0" collapsed="false">
      <c r="A24" s="15" t="s">
        <v>80</v>
      </c>
      <c r="B24" s="16"/>
      <c r="C24" s="16"/>
      <c r="D24" s="16"/>
      <c r="E24" s="17"/>
      <c r="F24" s="16"/>
      <c r="G24" s="16"/>
      <c r="H24" s="16"/>
      <c r="I24" s="16"/>
      <c r="J24" s="17"/>
      <c r="K24" s="16"/>
      <c r="L24" s="16"/>
      <c r="M24" s="16"/>
      <c r="N24" s="16"/>
      <c r="O24" s="17"/>
      <c r="P24" s="16" t="n">
        <v>1</v>
      </c>
      <c r="Q24" s="16"/>
      <c r="R24" s="16"/>
      <c r="S24" s="16"/>
      <c r="T24" s="17"/>
      <c r="U24" s="16"/>
      <c r="V24" s="16" t="n">
        <v>1</v>
      </c>
      <c r="W24" s="16"/>
      <c r="X24" s="19" t="n">
        <f aca="false">COUNTIF(B24:W24,1)+COUNTIF(B24:W24,"IC")</f>
        <v>2</v>
      </c>
      <c r="Y24" s="16" t="str">
        <f aca="false">IF(COUNTIF(B24:W24,"M")&gt;0,"N/A absence longue",IF(X24&gt;=2,"Atteint","Sous objectif"))</f>
        <v>Atteint</v>
      </c>
    </row>
    <row r="25" customFormat="false" ht="18" hidden="false" customHeight="true" outlineLevel="0" collapsed="false">
      <c r="A25" s="15" t="s">
        <v>87</v>
      </c>
      <c r="B25" s="16"/>
      <c r="C25" s="16"/>
      <c r="D25" s="16"/>
      <c r="E25" s="17"/>
      <c r="F25" s="16"/>
      <c r="G25" s="16"/>
      <c r="H25" s="16"/>
      <c r="I25" s="16"/>
      <c r="J25" s="17"/>
      <c r="K25" s="16"/>
      <c r="L25" s="16"/>
      <c r="M25" s="16"/>
      <c r="N25" s="16"/>
      <c r="O25" s="17"/>
      <c r="P25" s="16"/>
      <c r="Q25" s="16"/>
      <c r="R25" s="16"/>
      <c r="S25" s="16"/>
      <c r="T25" s="17"/>
      <c r="U25" s="16"/>
      <c r="V25" s="16"/>
      <c r="W25" s="16"/>
      <c r="X25" s="19" t="n">
        <f aca="false">COUNTIF(B25:W25,1)+COUNTIF(B25:W25,"IC")</f>
        <v>0</v>
      </c>
      <c r="Y25" s="16" t="str">
        <f aca="false">IF(COUNTIF(B25:W25,"M")&gt;0,"N/A absence longue",IF(X25&gt;=2,"Atteint","Sous objectif"))</f>
        <v>Sous objectif</v>
      </c>
    </row>
    <row r="26" customFormat="false" ht="18" hidden="false" customHeight="true" outlineLevel="0" collapsed="false">
      <c r="A26" s="15" t="s">
        <v>90</v>
      </c>
      <c r="B26" s="16"/>
      <c r="C26" s="16"/>
      <c r="D26" s="16"/>
      <c r="E26" s="17"/>
      <c r="F26" s="16"/>
      <c r="G26" s="16"/>
      <c r="H26" s="16"/>
      <c r="I26" s="16"/>
      <c r="J26" s="17"/>
      <c r="K26" s="16"/>
      <c r="L26" s="16"/>
      <c r="M26" s="16"/>
      <c r="N26" s="16"/>
      <c r="O26" s="17"/>
      <c r="P26" s="16" t="n">
        <v>1</v>
      </c>
      <c r="Q26" s="16"/>
      <c r="R26" s="16"/>
      <c r="S26" s="16"/>
      <c r="T26" s="17"/>
      <c r="U26" s="16"/>
      <c r="V26" s="16"/>
      <c r="W26" s="16"/>
      <c r="X26" s="19" t="n">
        <f aca="false">COUNTIF(B26:W26,1)+COUNTIF(B26:W26,"IC")</f>
        <v>1</v>
      </c>
      <c r="Y26" s="16" t="str">
        <f aca="false">IF(COUNTIF(B26:W26,"M")&gt;0,"N/A absence longue",IF(X26&gt;=2,"Atteint","Sous objectif"))</f>
        <v>Sous objectif</v>
      </c>
    </row>
    <row r="27" customFormat="false" ht="18" hidden="false" customHeight="true" outlineLevel="0" collapsed="false">
      <c r="A27" s="15" t="s">
        <v>98</v>
      </c>
      <c r="B27" s="16"/>
      <c r="C27" s="16"/>
      <c r="D27" s="16"/>
      <c r="E27" s="17"/>
      <c r="F27" s="16"/>
      <c r="G27" s="16"/>
      <c r="H27" s="16"/>
      <c r="I27" s="16"/>
      <c r="J27" s="17"/>
      <c r="K27" s="16"/>
      <c r="L27" s="16"/>
      <c r="M27" s="16"/>
      <c r="N27" s="16"/>
      <c r="O27" s="17"/>
      <c r="P27" s="16"/>
      <c r="Q27" s="16"/>
      <c r="R27" s="16"/>
      <c r="S27" s="16"/>
      <c r="T27" s="17"/>
      <c r="U27" s="16"/>
      <c r="V27" s="16"/>
      <c r="W27" s="16"/>
      <c r="X27" s="19" t="n">
        <f aca="false">COUNTIF(B27:W27,1)+COUNTIF(B27:W27,"IC")</f>
        <v>0</v>
      </c>
      <c r="Y27" s="16" t="str">
        <f aca="false">IF(COUNTIF(B27:W27,"M")&gt;0,"N/A absence longue",IF(X27&gt;=2,"Atteint","Sous objectif"))</f>
        <v>Sous objectif</v>
      </c>
    </row>
    <row r="28" customFormat="false" ht="18" hidden="false" customHeight="true" outlineLevel="0" collapsed="false">
      <c r="A28" s="15" t="s">
        <v>99</v>
      </c>
      <c r="B28" s="16"/>
      <c r="C28" s="16"/>
      <c r="D28" s="16"/>
      <c r="E28" s="17"/>
      <c r="F28" s="16"/>
      <c r="G28" s="16"/>
      <c r="H28" s="16" t="n">
        <v>1</v>
      </c>
      <c r="I28" s="16"/>
      <c r="J28" s="17"/>
      <c r="K28" s="16"/>
      <c r="L28" s="16"/>
      <c r="M28" s="16"/>
      <c r="N28" s="16"/>
      <c r="O28" s="17"/>
      <c r="P28" s="16"/>
      <c r="Q28" s="16"/>
      <c r="R28" s="16"/>
      <c r="S28" s="16"/>
      <c r="T28" s="17"/>
      <c r="U28" s="16"/>
      <c r="V28" s="16"/>
      <c r="W28" s="16" t="n">
        <v>1</v>
      </c>
      <c r="X28" s="19" t="n">
        <f aca="false">COUNTIF(B28:W28,1)+COUNTIF(B28:W28,"IC")</f>
        <v>2</v>
      </c>
      <c r="Y28" s="16" t="str">
        <f aca="false">IF(COUNTIF(B28:W28,"M")&gt;0,"N/A absence longue",IF(X28&gt;=2,"Atteint","Sous objectif"))</f>
        <v>Atteint</v>
      </c>
    </row>
    <row r="29" customFormat="false" ht="18" hidden="false" customHeight="true" outlineLevel="0" collapsed="false">
      <c r="A29" s="15" t="s">
        <v>96</v>
      </c>
      <c r="B29" s="16"/>
      <c r="C29" s="16"/>
      <c r="D29" s="16"/>
      <c r="E29" s="17"/>
      <c r="F29" s="16"/>
      <c r="G29" s="16"/>
      <c r="H29" s="16" t="n">
        <v>1</v>
      </c>
      <c r="I29" s="16"/>
      <c r="J29" s="17"/>
      <c r="K29" s="16"/>
      <c r="L29" s="16"/>
      <c r="M29" s="16"/>
      <c r="N29" s="16"/>
      <c r="O29" s="17"/>
      <c r="P29" s="16" t="n">
        <v>1</v>
      </c>
      <c r="Q29" s="16"/>
      <c r="R29" s="16"/>
      <c r="S29" s="16"/>
      <c r="T29" s="17"/>
      <c r="U29" s="16"/>
      <c r="V29" s="16"/>
      <c r="W29" s="16" t="n">
        <v>1</v>
      </c>
      <c r="X29" s="19" t="n">
        <f aca="false">COUNTIF(B29:W29,1)+COUNTIF(B29:W29,"IC")</f>
        <v>3</v>
      </c>
      <c r="Y29" s="16" t="str">
        <f aca="false">IF(COUNTIF(B29:W29,"M")&gt;0,"N/A absence longue",IF(X29&gt;=2,"Atteint","Sous objectif"))</f>
        <v>Atteint</v>
      </c>
    </row>
    <row r="30" customFormat="false" ht="18" hidden="false" customHeight="true" outlineLevel="0" collapsed="false">
      <c r="A30" s="15" t="s">
        <v>79</v>
      </c>
      <c r="B30" s="16"/>
      <c r="C30" s="16"/>
      <c r="D30" s="16"/>
      <c r="E30" s="17"/>
      <c r="F30" s="16"/>
      <c r="G30" s="16"/>
      <c r="H30" s="16" t="n">
        <v>1</v>
      </c>
      <c r="I30" s="16"/>
      <c r="J30" s="17"/>
      <c r="K30" s="16"/>
      <c r="L30" s="16"/>
      <c r="M30" s="16" t="n">
        <v>1</v>
      </c>
      <c r="N30" s="16"/>
      <c r="O30" s="17"/>
      <c r="P30" s="16" t="n">
        <v>1</v>
      </c>
      <c r="Q30" s="16" t="n">
        <v>1</v>
      </c>
      <c r="R30" s="16" t="n">
        <v>1</v>
      </c>
      <c r="S30" s="16"/>
      <c r="T30" s="17"/>
      <c r="U30" s="16"/>
      <c r="V30" s="16"/>
      <c r="W30" s="16"/>
      <c r="X30" s="19" t="n">
        <f aca="false">COUNTIF(B30:W30,1)+COUNTIF(B30:W30,"IC")</f>
        <v>5</v>
      </c>
      <c r="Y30" s="16" t="str">
        <f aca="false">IF(COUNTIF(B30:W30,"M")&gt;0,"N/A absence longue",IF(X30&gt;=2,"Atteint","Sous objectif"))</f>
        <v>Atteint</v>
      </c>
    </row>
    <row r="32" customFormat="false" ht="15.75" hidden="false" customHeight="true" outlineLevel="0" collapsed="false">
      <c r="A32" s="25" t="s">
        <v>129</v>
      </c>
    </row>
    <row r="33" customFormat="false" ht="15.75" hidden="false" customHeight="true" outlineLevel="0" collapsed="false">
      <c r="A33" s="26" t="s">
        <v>119</v>
      </c>
      <c r="B33" s="16"/>
      <c r="C33" s="16"/>
      <c r="D33" s="16"/>
      <c r="E33" s="17"/>
      <c r="F33" s="16"/>
      <c r="G33" s="16"/>
      <c r="H33" s="16"/>
      <c r="I33" s="16"/>
      <c r="J33" s="17"/>
      <c r="K33" s="16"/>
      <c r="L33" s="16"/>
      <c r="M33" s="16"/>
      <c r="N33" s="16"/>
      <c r="O33" s="17"/>
      <c r="P33" s="16" t="s">
        <v>18</v>
      </c>
      <c r="Q33" s="16"/>
      <c r="R33" s="16"/>
      <c r="S33" s="16"/>
      <c r="T33" s="17"/>
      <c r="U33" s="16"/>
      <c r="V33" s="16"/>
      <c r="W33" s="16"/>
    </row>
    <row r="34" customFormat="false" ht="15.75" hidden="false" customHeight="true" outlineLevel="0" collapsed="false">
      <c r="A34" s="26" t="s">
        <v>117</v>
      </c>
      <c r="B34" s="16"/>
      <c r="C34" s="16"/>
      <c r="D34" s="16"/>
      <c r="E34" s="17"/>
      <c r="F34" s="16"/>
      <c r="G34" s="16"/>
      <c r="H34" s="16" t="s">
        <v>18</v>
      </c>
      <c r="I34" s="16"/>
      <c r="J34" s="17"/>
      <c r="K34" s="16"/>
      <c r="L34" s="16"/>
      <c r="M34" s="16"/>
      <c r="N34" s="16"/>
      <c r="O34" s="17"/>
      <c r="P34" s="16"/>
      <c r="Q34" s="16"/>
      <c r="R34" s="16"/>
      <c r="S34" s="16"/>
      <c r="T34" s="17"/>
      <c r="U34" s="16"/>
      <c r="V34" s="16"/>
      <c r="W34" s="16"/>
    </row>
    <row r="35" customFormat="false" ht="15.75" hidden="false" customHeight="true" outlineLevel="0" collapsed="false">
      <c r="A35" s="26" t="s">
        <v>130</v>
      </c>
      <c r="B35" s="16"/>
      <c r="C35" s="16"/>
      <c r="D35" s="16"/>
      <c r="E35" s="17"/>
      <c r="F35" s="16"/>
      <c r="G35" s="16"/>
      <c r="H35" s="16"/>
      <c r="I35" s="16"/>
      <c r="J35" s="17"/>
      <c r="K35" s="16"/>
      <c r="L35" s="16"/>
      <c r="M35" s="16"/>
      <c r="N35" s="16"/>
      <c r="O35" s="17"/>
      <c r="P35" s="16"/>
      <c r="Q35" s="16"/>
      <c r="R35" s="16"/>
      <c r="S35" s="16"/>
      <c r="T35" s="17"/>
      <c r="U35" s="16"/>
      <c r="V35" s="16"/>
      <c r="W35" s="16"/>
    </row>
  </sheetData>
  <mergeCells count="1">
    <mergeCell ref="A1:Y1"/>
  </mergeCells>
  <conditionalFormatting sqref="B4:W30">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3:W35">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33:W35" type="list">
      <formula1>"X"</formula1>
      <formula2>0</formula2>
    </dataValidation>
    <dataValidation allowBlank="true" errorStyle="stop" operator="between" showDropDown="false" showErrorMessage="false" showInputMessage="false" sqref="B4:W30"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3" width="26"/>
    <col collapsed="false" customWidth="true" hidden="false" outlineLevel="0" max="2" min="2" style="3" width="8"/>
    <col collapsed="false" customWidth="true" hidden="false" outlineLevel="0" max="25" min="25" style="3" width="18"/>
  </cols>
  <sheetData>
    <row r="1" customFormat="false" ht="21.75" hidden="false" customHeight="true" outlineLevel="0" collapsed="false">
      <c r="A1" s="28" t="s">
        <v>136</v>
      </c>
    </row>
    <row r="3" customFormat="false" ht="21.75" hidden="false" customHeight="true" outlineLevel="0" collapsed="false">
      <c r="A3" s="29" t="s">
        <v>74</v>
      </c>
      <c r="B3" s="30" t="n">
        <v>46204</v>
      </c>
      <c r="C3" s="30" t="n">
        <v>46205</v>
      </c>
      <c r="D3" s="30" t="n">
        <v>46206</v>
      </c>
      <c r="E3" s="31" t="n">
        <v>46209</v>
      </c>
      <c r="F3" s="30" t="n">
        <v>46210</v>
      </c>
      <c r="G3" s="30" t="n">
        <v>46211</v>
      </c>
      <c r="H3" s="30" t="n">
        <v>46212</v>
      </c>
      <c r="I3" s="30" t="n">
        <v>46213</v>
      </c>
      <c r="J3" s="31" t="n">
        <v>46216</v>
      </c>
      <c r="K3" s="30" t="n">
        <v>46218</v>
      </c>
      <c r="L3" s="30" t="n">
        <v>46219</v>
      </c>
      <c r="M3" s="30" t="n">
        <v>46220</v>
      </c>
      <c r="N3" s="31" t="n">
        <v>46223</v>
      </c>
      <c r="O3" s="30" t="n">
        <v>46224</v>
      </c>
      <c r="P3" s="30" t="n">
        <v>46225</v>
      </c>
      <c r="Q3" s="30" t="n">
        <v>46226</v>
      </c>
      <c r="R3" s="30" t="n">
        <v>46227</v>
      </c>
      <c r="S3" s="31" t="n">
        <v>46230</v>
      </c>
      <c r="T3" s="30" t="n">
        <v>46231</v>
      </c>
      <c r="U3" s="30" t="n">
        <v>46232</v>
      </c>
      <c r="V3" s="30" t="n">
        <v>46233</v>
      </c>
      <c r="W3" s="30" t="n">
        <v>46234</v>
      </c>
      <c r="X3" s="32" t="s">
        <v>127</v>
      </c>
      <c r="Y3" s="33" t="s">
        <v>128</v>
      </c>
    </row>
    <row r="4" customFormat="false" ht="18" hidden="false" customHeight="true" outlineLevel="0" collapsed="false">
      <c r="A4" s="26" t="s">
        <v>88</v>
      </c>
      <c r="B4" s="16"/>
      <c r="C4" s="16"/>
      <c r="D4" s="16"/>
      <c r="E4" s="34"/>
      <c r="F4" s="16" t="n">
        <v>1</v>
      </c>
      <c r="G4" s="16"/>
      <c r="H4" s="16"/>
      <c r="I4" s="16"/>
      <c r="J4" s="34"/>
      <c r="K4" s="16"/>
      <c r="L4" s="16"/>
      <c r="M4" s="16"/>
      <c r="N4" s="34"/>
      <c r="O4" s="16" t="n">
        <v>1</v>
      </c>
      <c r="P4" s="16"/>
      <c r="Q4" s="16"/>
      <c r="R4" s="16"/>
      <c r="S4" s="34"/>
      <c r="T4" s="16"/>
      <c r="U4" s="16"/>
      <c r="V4" s="16"/>
      <c r="W4" s="16"/>
      <c r="X4" s="35" t="n">
        <f aca="false">COUNTIF(B4:W4,1)+COUNTIF(B4:W4,"IC")</f>
        <v>2</v>
      </c>
      <c r="Y4" s="16" t="str">
        <f aca="false">IF(COUNTIF(B4:W4,"M")&gt;0,"N/A absence longue",IF(X4&gt;=2,"Atteint","Sous objectif"))</f>
        <v>Atteint</v>
      </c>
    </row>
    <row r="5" customFormat="false" ht="18" hidden="false" customHeight="true" outlineLevel="0" collapsed="false">
      <c r="A5" s="26" t="s">
        <v>103</v>
      </c>
      <c r="B5" s="16"/>
      <c r="C5" s="16"/>
      <c r="D5" s="16"/>
      <c r="E5" s="34"/>
      <c r="F5" s="16"/>
      <c r="G5" s="16"/>
      <c r="H5" s="16"/>
      <c r="I5" s="16"/>
      <c r="J5" s="34" t="s">
        <v>9</v>
      </c>
      <c r="K5" s="16"/>
      <c r="L5" s="16"/>
      <c r="M5" s="16"/>
      <c r="N5" s="34"/>
      <c r="O5" s="16"/>
      <c r="P5" s="16"/>
      <c r="Q5" s="16"/>
      <c r="R5" s="16"/>
      <c r="S5" s="34"/>
      <c r="T5" s="16"/>
      <c r="U5" s="16"/>
      <c r="V5" s="16"/>
      <c r="W5" s="16"/>
      <c r="X5" s="35" t="n">
        <f aca="false">COUNTIF(B5:W5,1)+COUNTIF(B5:W5,"IC")</f>
        <v>1</v>
      </c>
      <c r="Y5" s="16" t="str">
        <f aca="false">IF(COUNTIF(B5:W5,"M")&gt;0,"N/A absence longue",IF(X5&gt;=2,"Atteint","Sous objectif"))</f>
        <v>Sous objectif</v>
      </c>
    </row>
    <row r="6" customFormat="false" ht="18" hidden="false" customHeight="true" outlineLevel="0" collapsed="false">
      <c r="A6" s="26" t="s">
        <v>85</v>
      </c>
      <c r="B6" s="16"/>
      <c r="C6" s="16"/>
      <c r="D6" s="16"/>
      <c r="E6" s="34"/>
      <c r="F6" s="16"/>
      <c r="G6" s="16"/>
      <c r="H6" s="16"/>
      <c r="I6" s="16"/>
      <c r="J6" s="34"/>
      <c r="K6" s="16"/>
      <c r="L6" s="16"/>
      <c r="M6" s="16"/>
      <c r="N6" s="34"/>
      <c r="O6" s="16"/>
      <c r="P6" s="16"/>
      <c r="Q6" s="16"/>
      <c r="R6" s="16"/>
      <c r="S6" s="34"/>
      <c r="T6" s="16"/>
      <c r="U6" s="16"/>
      <c r="V6" s="16"/>
      <c r="W6" s="16"/>
      <c r="X6" s="35" t="n">
        <f aca="false">COUNTIF(B6:W6,1)+COUNTIF(B6:W6,"IC")</f>
        <v>0</v>
      </c>
      <c r="Y6" s="16" t="str">
        <f aca="false">IF(COUNTIF(B6:W6,"M")&gt;0,"N/A absence longue",IF(X6&gt;=2,"Atteint","Sous objectif"))</f>
        <v>Sous objectif</v>
      </c>
    </row>
    <row r="7" customFormat="false" ht="18" hidden="false" customHeight="true" outlineLevel="0" collapsed="false">
      <c r="A7" s="26" t="s">
        <v>95</v>
      </c>
      <c r="B7" s="16"/>
      <c r="C7" s="16" t="n">
        <v>1</v>
      </c>
      <c r="D7" s="16"/>
      <c r="E7" s="34"/>
      <c r="F7" s="16" t="n">
        <v>1</v>
      </c>
      <c r="G7" s="16"/>
      <c r="H7" s="16"/>
      <c r="I7" s="16"/>
      <c r="J7" s="34"/>
      <c r="K7" s="16"/>
      <c r="L7" s="16" t="n">
        <v>1</v>
      </c>
      <c r="M7" s="16"/>
      <c r="N7" s="34"/>
      <c r="O7" s="16"/>
      <c r="P7" s="16"/>
      <c r="Q7" s="16"/>
      <c r="R7" s="16"/>
      <c r="S7" s="34"/>
      <c r="T7" s="16"/>
      <c r="U7" s="16"/>
      <c r="V7" s="16"/>
      <c r="W7" s="16"/>
      <c r="X7" s="35" t="n">
        <f aca="false">COUNTIF(B7:W7,1)+COUNTIF(B7:W7,"IC")</f>
        <v>3</v>
      </c>
      <c r="Y7" s="16" t="str">
        <f aca="false">IF(COUNTIF(B7:W7,"M")&gt;0,"N/A absence longue",IF(X7&gt;=2,"Atteint","Sous objectif"))</f>
        <v>Atteint</v>
      </c>
    </row>
    <row r="8" customFormat="false" ht="18" hidden="false" customHeight="true" outlineLevel="0" collapsed="false">
      <c r="A8" s="26" t="s">
        <v>112</v>
      </c>
      <c r="B8" s="16"/>
      <c r="C8" s="16" t="s">
        <v>9</v>
      </c>
      <c r="D8" s="16"/>
      <c r="E8" s="34" t="s">
        <v>9</v>
      </c>
      <c r="F8" s="16" t="s">
        <v>9</v>
      </c>
      <c r="G8" s="16"/>
      <c r="H8" s="16" t="s">
        <v>9</v>
      </c>
      <c r="I8" s="16"/>
      <c r="J8" s="34" t="s">
        <v>9</v>
      </c>
      <c r="K8" s="16"/>
      <c r="L8" s="16"/>
      <c r="M8" s="16"/>
      <c r="N8" s="34"/>
      <c r="O8" s="16"/>
      <c r="P8" s="16"/>
      <c r="Q8" s="16"/>
      <c r="R8" s="16"/>
      <c r="S8" s="34"/>
      <c r="T8" s="16"/>
      <c r="U8" s="16"/>
      <c r="V8" s="16"/>
      <c r="W8" s="16"/>
      <c r="X8" s="35" t="n">
        <f aca="false">COUNTIF(B8:W8,1)+COUNTIF(B8:W8,"IC")</f>
        <v>5</v>
      </c>
      <c r="Y8" s="16" t="str">
        <f aca="false">IF(COUNTIF(B8:W8,"M")&gt;0,"N/A absence longue",IF(X8&gt;=2,"Atteint","Sous objectif"))</f>
        <v>Atteint</v>
      </c>
    </row>
    <row r="9" customFormat="false" ht="18" hidden="false" customHeight="true" outlineLevel="0" collapsed="false">
      <c r="A9" s="26" t="s">
        <v>94</v>
      </c>
      <c r="B9" s="16"/>
      <c r="C9" s="16"/>
      <c r="D9" s="16"/>
      <c r="E9" s="34"/>
      <c r="F9" s="16"/>
      <c r="G9" s="16"/>
      <c r="H9" s="16"/>
      <c r="I9" s="16"/>
      <c r="J9" s="34"/>
      <c r="K9" s="16"/>
      <c r="L9" s="16"/>
      <c r="M9" s="16"/>
      <c r="N9" s="34"/>
      <c r="O9" s="16"/>
      <c r="P9" s="16"/>
      <c r="Q9" s="16"/>
      <c r="R9" s="16"/>
      <c r="S9" s="34"/>
      <c r="T9" s="16"/>
      <c r="U9" s="16"/>
      <c r="V9" s="16"/>
      <c r="W9" s="16"/>
      <c r="X9" s="35" t="n">
        <f aca="false">COUNTIF(B9:W9,1)+COUNTIF(B9:W9,"IC")</f>
        <v>0</v>
      </c>
      <c r="Y9" s="16" t="str">
        <f aca="false">IF(COUNTIF(B9:W9,"M")&gt;0,"N/A absence longue",IF(X9&gt;=2,"Atteint","Sous objectif"))</f>
        <v>Sous objectif</v>
      </c>
    </row>
    <row r="10" customFormat="false" ht="18" hidden="false" customHeight="true" outlineLevel="0" collapsed="false">
      <c r="A10" s="26" t="s">
        <v>82</v>
      </c>
      <c r="B10" s="16" t="n">
        <v>1</v>
      </c>
      <c r="C10" s="16"/>
      <c r="D10" s="16"/>
      <c r="E10" s="34"/>
      <c r="F10" s="16"/>
      <c r="G10" s="16"/>
      <c r="H10" s="16"/>
      <c r="I10" s="16"/>
      <c r="J10" s="34"/>
      <c r="K10" s="16"/>
      <c r="L10" s="16"/>
      <c r="M10" s="16"/>
      <c r="N10" s="34"/>
      <c r="O10" s="16"/>
      <c r="P10" s="16"/>
      <c r="Q10" s="16"/>
      <c r="R10" s="16"/>
      <c r="S10" s="34"/>
      <c r="T10" s="16"/>
      <c r="U10" s="16"/>
      <c r="V10" s="16"/>
      <c r="W10" s="16"/>
      <c r="X10" s="35" t="n">
        <f aca="false">COUNTIF(B10:W10,1)+COUNTIF(B10:W10,"IC")</f>
        <v>1</v>
      </c>
      <c r="Y10" s="16" t="str">
        <f aca="false">IF(COUNTIF(B10:W10,"M")&gt;0,"N/A absence longue",IF(X10&gt;=2,"Atteint","Sous objectif"))</f>
        <v>Sous objectif</v>
      </c>
    </row>
    <row r="11" customFormat="false" ht="18" hidden="false" customHeight="true" outlineLevel="0" collapsed="false">
      <c r="A11" s="26" t="s">
        <v>97</v>
      </c>
      <c r="B11" s="16"/>
      <c r="C11" s="16"/>
      <c r="D11" s="16"/>
      <c r="E11" s="34"/>
      <c r="F11" s="16" t="n">
        <v>1</v>
      </c>
      <c r="G11" s="16"/>
      <c r="H11" s="16" t="n">
        <v>1</v>
      </c>
      <c r="I11" s="16"/>
      <c r="J11" s="34"/>
      <c r="K11" s="16"/>
      <c r="L11" s="16" t="n">
        <v>1</v>
      </c>
      <c r="M11" s="16"/>
      <c r="N11" s="34"/>
      <c r="O11" s="16"/>
      <c r="P11" s="16"/>
      <c r="Q11" s="16"/>
      <c r="R11" s="16"/>
      <c r="S11" s="34"/>
      <c r="T11" s="16"/>
      <c r="U11" s="16"/>
      <c r="V11" s="16"/>
      <c r="W11" s="16"/>
      <c r="X11" s="35" t="n">
        <f aca="false">COUNTIF(B11:W11,1)+COUNTIF(B11:W11,"IC")</f>
        <v>3</v>
      </c>
      <c r="Y11" s="16" t="str">
        <f aca="false">IF(COUNTIF(B11:W11,"M")&gt;0,"N/A absence longue",IF(X11&gt;=2,"Atteint","Sous objectif"))</f>
        <v>Atteint</v>
      </c>
    </row>
    <row r="12" customFormat="false" ht="18" hidden="false" customHeight="true" outlineLevel="0" collapsed="false">
      <c r="A12" s="26" t="s">
        <v>93</v>
      </c>
      <c r="B12" s="16"/>
      <c r="C12" s="16"/>
      <c r="D12" s="16"/>
      <c r="E12" s="34"/>
      <c r="F12" s="16"/>
      <c r="G12" s="16"/>
      <c r="H12" s="16"/>
      <c r="I12" s="16"/>
      <c r="J12" s="34"/>
      <c r="K12" s="16"/>
      <c r="L12" s="16"/>
      <c r="M12" s="16"/>
      <c r="N12" s="34"/>
      <c r="O12" s="16"/>
      <c r="P12" s="16"/>
      <c r="Q12" s="16"/>
      <c r="R12" s="16"/>
      <c r="S12" s="34"/>
      <c r="T12" s="16"/>
      <c r="U12" s="16"/>
      <c r="V12" s="16"/>
      <c r="W12" s="16"/>
      <c r="X12" s="35" t="n">
        <f aca="false">COUNTIF(B12:W12,1)+COUNTIF(B12:W12,"IC")</f>
        <v>0</v>
      </c>
      <c r="Y12" s="16" t="str">
        <f aca="false">IF(COUNTIF(B12:W12,"M")&gt;0,"N/A absence longue",IF(X12&gt;=2,"Atteint","Sous objectif"))</f>
        <v>Sous objectif</v>
      </c>
    </row>
    <row r="13" customFormat="false" ht="18" hidden="false" customHeight="true" outlineLevel="0" collapsed="false">
      <c r="A13" s="26" t="s">
        <v>81</v>
      </c>
      <c r="B13" s="16"/>
      <c r="C13" s="16"/>
      <c r="D13" s="16"/>
      <c r="E13" s="34"/>
      <c r="F13" s="16"/>
      <c r="G13" s="16"/>
      <c r="H13" s="16"/>
      <c r="I13" s="16"/>
      <c r="J13" s="34"/>
      <c r="K13" s="16"/>
      <c r="L13" s="16"/>
      <c r="M13" s="16"/>
      <c r="N13" s="34"/>
      <c r="O13" s="16" t="n">
        <v>1</v>
      </c>
      <c r="P13" s="16"/>
      <c r="Q13" s="16"/>
      <c r="R13" s="16"/>
      <c r="S13" s="34"/>
      <c r="T13" s="16"/>
      <c r="U13" s="16"/>
      <c r="V13" s="16"/>
      <c r="W13" s="16"/>
      <c r="X13" s="35" t="n">
        <f aca="false">COUNTIF(B13:W13,1)+COUNTIF(B13:W13,"IC")</f>
        <v>1</v>
      </c>
      <c r="Y13" s="16" t="str">
        <f aca="false">IF(COUNTIF(B13:W13,"M")&gt;0,"N/A absence longue",IF(X13&gt;=2,"Atteint","Sous objectif"))</f>
        <v>Sous objectif</v>
      </c>
    </row>
    <row r="14" customFormat="false" ht="18" hidden="false" customHeight="true" outlineLevel="0" collapsed="false">
      <c r="A14" s="26" t="s">
        <v>78</v>
      </c>
      <c r="B14" s="16"/>
      <c r="C14" s="16"/>
      <c r="D14" s="16"/>
      <c r="E14" s="34"/>
      <c r="F14" s="16" t="n">
        <v>1</v>
      </c>
      <c r="G14" s="16"/>
      <c r="H14" s="16"/>
      <c r="I14" s="16"/>
      <c r="J14" s="34"/>
      <c r="K14" s="16"/>
      <c r="L14" s="16"/>
      <c r="M14" s="16"/>
      <c r="N14" s="34"/>
      <c r="O14" s="16"/>
      <c r="P14" s="16"/>
      <c r="Q14" s="16"/>
      <c r="R14" s="16"/>
      <c r="S14" s="34"/>
      <c r="T14" s="16"/>
      <c r="U14" s="16"/>
      <c r="V14" s="16"/>
      <c r="W14" s="16"/>
      <c r="X14" s="35" t="n">
        <f aca="false">COUNTIF(B14:W14,1)+COUNTIF(B14:W14,"IC")</f>
        <v>1</v>
      </c>
      <c r="Y14" s="16" t="str">
        <f aca="false">IF(COUNTIF(B14:W14,"M")&gt;0,"N/A absence longue",IF(X14&gt;=2,"Atteint","Sous objectif"))</f>
        <v>Sous objectif</v>
      </c>
    </row>
    <row r="15" customFormat="false" ht="18" hidden="false" customHeight="true" outlineLevel="0" collapsed="false">
      <c r="A15" s="26" t="s">
        <v>101</v>
      </c>
      <c r="B15" s="16"/>
      <c r="C15" s="16"/>
      <c r="D15" s="16"/>
      <c r="E15" s="34"/>
      <c r="F15" s="16" t="n">
        <v>1</v>
      </c>
      <c r="G15" s="16"/>
      <c r="H15" s="16"/>
      <c r="I15" s="16"/>
      <c r="J15" s="34"/>
      <c r="K15" s="16"/>
      <c r="L15" s="16"/>
      <c r="M15" s="16"/>
      <c r="N15" s="34"/>
      <c r="O15" s="16"/>
      <c r="P15" s="16"/>
      <c r="Q15" s="16"/>
      <c r="R15" s="16"/>
      <c r="S15" s="34"/>
      <c r="T15" s="16"/>
      <c r="U15" s="16"/>
      <c r="V15" s="16"/>
      <c r="W15" s="16"/>
      <c r="X15" s="35" t="n">
        <f aca="false">COUNTIF(B15:W15,1)+COUNTIF(B15:W15,"IC")</f>
        <v>1</v>
      </c>
      <c r="Y15" s="16" t="str">
        <f aca="false">IF(COUNTIF(B15:W15,"M")&gt;0,"N/A absence longue",IF(X15&gt;=2,"Atteint","Sous objectif"))</f>
        <v>Sous objectif</v>
      </c>
    </row>
    <row r="16" customFormat="false" ht="18" hidden="false" customHeight="true" outlineLevel="0" collapsed="false">
      <c r="A16" s="26" t="s">
        <v>89</v>
      </c>
      <c r="B16" s="16"/>
      <c r="C16" s="16"/>
      <c r="D16" s="16"/>
      <c r="E16" s="34"/>
      <c r="F16" s="16"/>
      <c r="G16" s="16"/>
      <c r="H16" s="16"/>
      <c r="I16" s="16"/>
      <c r="J16" s="34"/>
      <c r="K16" s="16"/>
      <c r="L16" s="16"/>
      <c r="M16" s="16"/>
      <c r="N16" s="34"/>
      <c r="O16" s="16"/>
      <c r="P16" s="16" t="n">
        <v>1</v>
      </c>
      <c r="Q16" s="16" t="n">
        <v>1</v>
      </c>
      <c r="R16" s="16"/>
      <c r="S16" s="34"/>
      <c r="T16" s="16"/>
      <c r="U16" s="16"/>
      <c r="V16" s="16"/>
      <c r="W16" s="16"/>
      <c r="X16" s="35" t="n">
        <f aca="false">COUNTIF(B16:W16,1)+COUNTIF(B16:W16,"IC")</f>
        <v>2</v>
      </c>
      <c r="Y16" s="16" t="str">
        <f aca="false">IF(COUNTIF(B16:W16,"M")&gt;0,"N/A absence longue",IF(X16&gt;=2,"Atteint","Sous objectif"))</f>
        <v>Atteint</v>
      </c>
    </row>
    <row r="17" customFormat="false" ht="18" hidden="false" customHeight="true" outlineLevel="0" collapsed="false">
      <c r="A17" s="26" t="s">
        <v>102</v>
      </c>
      <c r="B17" s="16"/>
      <c r="C17" s="16"/>
      <c r="D17" s="16"/>
      <c r="E17" s="34"/>
      <c r="F17" s="16" t="n">
        <v>1</v>
      </c>
      <c r="G17" s="16"/>
      <c r="H17" s="16"/>
      <c r="I17" s="16"/>
      <c r="J17" s="34"/>
      <c r="K17" s="16"/>
      <c r="L17" s="16"/>
      <c r="M17" s="16"/>
      <c r="N17" s="34"/>
      <c r="O17" s="16"/>
      <c r="P17" s="16"/>
      <c r="Q17" s="16"/>
      <c r="R17" s="16"/>
      <c r="S17" s="34"/>
      <c r="T17" s="16"/>
      <c r="U17" s="16"/>
      <c r="V17" s="16"/>
      <c r="W17" s="16"/>
      <c r="X17" s="35" t="n">
        <f aca="false">COUNTIF(B17:W17,1)+COUNTIF(B17:W17,"IC")</f>
        <v>1</v>
      </c>
      <c r="Y17" s="16" t="str">
        <f aca="false">IF(COUNTIF(B17:W17,"M")&gt;0,"N/A absence longue",IF(X17&gt;=2,"Atteint","Sous objectif"))</f>
        <v>Sous objectif</v>
      </c>
    </row>
    <row r="18" customFormat="false" ht="18" hidden="false" customHeight="true" outlineLevel="0" collapsed="false">
      <c r="A18" s="26" t="s">
        <v>86</v>
      </c>
      <c r="B18" s="16"/>
      <c r="C18" s="16" t="s">
        <v>9</v>
      </c>
      <c r="D18" s="16"/>
      <c r="E18" s="34"/>
      <c r="F18" s="16" t="s">
        <v>9</v>
      </c>
      <c r="G18" s="16"/>
      <c r="H18" s="16" t="s">
        <v>9</v>
      </c>
      <c r="I18" s="16"/>
      <c r="J18" s="34"/>
      <c r="K18" s="16"/>
      <c r="L18" s="16" t="s">
        <v>9</v>
      </c>
      <c r="M18" s="16"/>
      <c r="N18" s="34"/>
      <c r="O18" s="16" t="s">
        <v>9</v>
      </c>
      <c r="P18" s="16"/>
      <c r="Q18" s="16"/>
      <c r="R18" s="16"/>
      <c r="S18" s="34"/>
      <c r="T18" s="16"/>
      <c r="U18" s="16"/>
      <c r="V18" s="16"/>
      <c r="W18" s="16"/>
      <c r="X18" s="35" t="n">
        <f aca="false">COUNTIF(B18:W18,1)+COUNTIF(B18:W18,"IC")</f>
        <v>5</v>
      </c>
      <c r="Y18" s="16" t="str">
        <f aca="false">IF(COUNTIF(B18:W18,"M")&gt;0,"N/A absence longue",IF(X18&gt;=2,"Atteint","Sous objectif"))</f>
        <v>Atteint</v>
      </c>
    </row>
    <row r="19" customFormat="false" ht="18" hidden="false" customHeight="true" outlineLevel="0" collapsed="false">
      <c r="A19" s="26" t="s">
        <v>92</v>
      </c>
      <c r="B19" s="16"/>
      <c r="C19" s="16"/>
      <c r="D19" s="16"/>
      <c r="E19" s="34"/>
      <c r="F19" s="16" t="n">
        <v>1</v>
      </c>
      <c r="G19" s="16"/>
      <c r="H19" s="16"/>
      <c r="I19" s="16"/>
      <c r="J19" s="34"/>
      <c r="K19" s="16"/>
      <c r="L19" s="16"/>
      <c r="M19" s="16"/>
      <c r="N19" s="34"/>
      <c r="O19" s="16" t="n">
        <v>1</v>
      </c>
      <c r="P19" s="16"/>
      <c r="Q19" s="16"/>
      <c r="R19" s="16"/>
      <c r="S19" s="34"/>
      <c r="T19" s="16"/>
      <c r="U19" s="16"/>
      <c r="V19" s="16"/>
      <c r="W19" s="16"/>
      <c r="X19" s="35" t="n">
        <f aca="false">COUNTIF(B19:W19,1)+COUNTIF(B19:W19,"IC")</f>
        <v>2</v>
      </c>
      <c r="Y19" s="16" t="str">
        <f aca="false">IF(COUNTIF(B19:W19,"M")&gt;0,"N/A absence longue",IF(X19&gt;=2,"Atteint","Sous objectif"))</f>
        <v>Atteint</v>
      </c>
    </row>
    <row r="20" customFormat="false" ht="18" hidden="false" customHeight="true" outlineLevel="0" collapsed="false">
      <c r="A20" s="26" t="s">
        <v>100</v>
      </c>
      <c r="B20" s="16"/>
      <c r="C20" s="16"/>
      <c r="D20" s="16"/>
      <c r="E20" s="34"/>
      <c r="F20" s="16"/>
      <c r="G20" s="16"/>
      <c r="H20" s="16"/>
      <c r="I20" s="16"/>
      <c r="J20" s="34"/>
      <c r="K20" s="16"/>
      <c r="L20" s="16"/>
      <c r="M20" s="16"/>
      <c r="N20" s="34"/>
      <c r="O20" s="16"/>
      <c r="P20" s="16"/>
      <c r="Q20" s="16"/>
      <c r="R20" s="16"/>
      <c r="S20" s="34"/>
      <c r="T20" s="16"/>
      <c r="U20" s="16"/>
      <c r="V20" s="16"/>
      <c r="W20" s="16"/>
      <c r="X20" s="35" t="n">
        <f aca="false">COUNTIF(B20:W20,1)+COUNTIF(B20:W20,"IC")</f>
        <v>0</v>
      </c>
      <c r="Y20" s="16" t="str">
        <f aca="false">IF(COUNTIF(B20:W20,"M")&gt;0,"N/A absence longue",IF(X20&gt;=2,"Atteint","Sous objectif"))</f>
        <v>Sous objectif</v>
      </c>
    </row>
    <row r="21" customFormat="false" ht="18" hidden="false" customHeight="true" outlineLevel="0" collapsed="false">
      <c r="A21" s="26" t="s">
        <v>91</v>
      </c>
      <c r="B21" s="16"/>
      <c r="C21" s="16"/>
      <c r="D21" s="16"/>
      <c r="E21" s="34"/>
      <c r="F21" s="16"/>
      <c r="G21" s="16"/>
      <c r="H21" s="16"/>
      <c r="I21" s="16"/>
      <c r="J21" s="34"/>
      <c r="K21" s="16"/>
      <c r="L21" s="16"/>
      <c r="M21" s="16"/>
      <c r="N21" s="34"/>
      <c r="O21" s="16"/>
      <c r="P21" s="16"/>
      <c r="Q21" s="16"/>
      <c r="R21" s="16"/>
      <c r="S21" s="34"/>
      <c r="T21" s="16"/>
      <c r="U21" s="16"/>
      <c r="V21" s="16"/>
      <c r="W21" s="16"/>
      <c r="X21" s="35" t="n">
        <f aca="false">COUNTIF(B21:W21,1)+COUNTIF(B21:W21,"IC")</f>
        <v>0</v>
      </c>
      <c r="Y21" s="16" t="str">
        <f aca="false">IF(COUNTIF(B21:W21,"M")&gt;0,"N/A absence longue",IF(X21&gt;=2,"Atteint","Sous objectif"))</f>
        <v>Sous objectif</v>
      </c>
    </row>
    <row r="22" customFormat="false" ht="18" hidden="false" customHeight="true" outlineLevel="0" collapsed="false">
      <c r="A22" s="26" t="s">
        <v>83</v>
      </c>
      <c r="B22" s="16"/>
      <c r="C22" s="16" t="n">
        <v>1</v>
      </c>
      <c r="D22" s="16"/>
      <c r="E22" s="34"/>
      <c r="F22" s="16"/>
      <c r="G22" s="16"/>
      <c r="H22" s="16"/>
      <c r="I22" s="16"/>
      <c r="J22" s="34"/>
      <c r="K22" s="16"/>
      <c r="L22" s="16"/>
      <c r="M22" s="16"/>
      <c r="N22" s="34" t="n">
        <v>1</v>
      </c>
      <c r="O22" s="16"/>
      <c r="P22" s="16" t="n">
        <v>1</v>
      </c>
      <c r="Q22" s="16"/>
      <c r="R22" s="16"/>
      <c r="S22" s="34"/>
      <c r="T22" s="16"/>
      <c r="U22" s="16"/>
      <c r="V22" s="16"/>
      <c r="W22" s="16"/>
      <c r="X22" s="35" t="n">
        <f aca="false">COUNTIF(B22:W22,1)+COUNTIF(B22:W22,"IC")</f>
        <v>3</v>
      </c>
      <c r="Y22" s="16" t="str">
        <f aca="false">IF(COUNTIF(B22:W22,"M")&gt;0,"N/A absence longue",IF(X22&gt;=2,"Atteint","Sous objectif"))</f>
        <v>Atteint</v>
      </c>
    </row>
    <row r="23" customFormat="false" ht="18" hidden="false" customHeight="true" outlineLevel="0" collapsed="false">
      <c r="A23" s="26" t="s">
        <v>80</v>
      </c>
      <c r="B23" s="16"/>
      <c r="C23" s="16"/>
      <c r="D23" s="16"/>
      <c r="E23" s="34"/>
      <c r="F23" s="16"/>
      <c r="G23" s="16"/>
      <c r="H23" s="16"/>
      <c r="I23" s="16"/>
      <c r="J23" s="34"/>
      <c r="K23" s="16"/>
      <c r="L23" s="16"/>
      <c r="M23" s="16"/>
      <c r="N23" s="34"/>
      <c r="O23" s="16"/>
      <c r="P23" s="16"/>
      <c r="Q23" s="16"/>
      <c r="R23" s="16"/>
      <c r="S23" s="34"/>
      <c r="T23" s="16"/>
      <c r="U23" s="16"/>
      <c r="V23" s="16"/>
      <c r="W23" s="16"/>
      <c r="X23" s="35" t="n">
        <f aca="false">COUNTIF(B23:W23,1)+COUNTIF(B23:W23,"IC")</f>
        <v>0</v>
      </c>
      <c r="Y23" s="16" t="str">
        <f aca="false">IF(COUNTIF(B23:W23,"M")&gt;0,"N/A absence longue",IF(X23&gt;=2,"Atteint","Sous objectif"))</f>
        <v>Sous objectif</v>
      </c>
    </row>
    <row r="24" customFormat="false" ht="18" hidden="false" customHeight="true" outlineLevel="0" collapsed="false">
      <c r="A24" s="26" t="s">
        <v>87</v>
      </c>
      <c r="B24" s="16"/>
      <c r="C24" s="16"/>
      <c r="D24" s="16"/>
      <c r="E24" s="34"/>
      <c r="F24" s="16"/>
      <c r="G24" s="16"/>
      <c r="H24" s="16"/>
      <c r="I24" s="16"/>
      <c r="J24" s="34"/>
      <c r="K24" s="16"/>
      <c r="L24" s="16" t="n">
        <v>1</v>
      </c>
      <c r="M24" s="16"/>
      <c r="N24" s="34"/>
      <c r="O24" s="16"/>
      <c r="P24" s="16"/>
      <c r="Q24" s="16"/>
      <c r="R24" s="16"/>
      <c r="S24" s="34"/>
      <c r="T24" s="16"/>
      <c r="U24" s="16"/>
      <c r="V24" s="16"/>
      <c r="W24" s="16"/>
      <c r="X24" s="35" t="n">
        <f aca="false">COUNTIF(B24:W24,1)+COUNTIF(B24:W24,"IC")</f>
        <v>1</v>
      </c>
      <c r="Y24" s="16" t="str">
        <f aca="false">IF(COUNTIF(B24:W24,"M")&gt;0,"N/A absence longue",IF(X24&gt;=2,"Atteint","Sous objectif"))</f>
        <v>Sous objectif</v>
      </c>
    </row>
    <row r="25" customFormat="false" ht="18" hidden="false" customHeight="true" outlineLevel="0" collapsed="false">
      <c r="A25" s="26" t="s">
        <v>90</v>
      </c>
      <c r="B25" s="16"/>
      <c r="C25" s="16" t="n">
        <v>1</v>
      </c>
      <c r="D25" s="16"/>
      <c r="E25" s="34"/>
      <c r="F25" s="16"/>
      <c r="G25" s="16"/>
      <c r="H25" s="16"/>
      <c r="I25" s="16"/>
      <c r="J25" s="34"/>
      <c r="K25" s="16"/>
      <c r="L25" s="16"/>
      <c r="M25" s="16"/>
      <c r="N25" s="34"/>
      <c r="O25" s="16"/>
      <c r="P25" s="16"/>
      <c r="Q25" s="16"/>
      <c r="R25" s="16"/>
      <c r="S25" s="34"/>
      <c r="T25" s="16"/>
      <c r="U25" s="16"/>
      <c r="V25" s="16"/>
      <c r="W25" s="16"/>
      <c r="X25" s="35" t="n">
        <f aca="false">COUNTIF(B25:W25,1)+COUNTIF(B25:W25,"IC")</f>
        <v>1</v>
      </c>
      <c r="Y25" s="16" t="str">
        <f aca="false">IF(COUNTIF(B25:W25,"M")&gt;0,"N/A absence longue",IF(X25&gt;=2,"Atteint","Sous objectif"))</f>
        <v>Sous objectif</v>
      </c>
    </row>
    <row r="26" customFormat="false" ht="18" hidden="false" customHeight="true" outlineLevel="0" collapsed="false">
      <c r="A26" s="26" t="s">
        <v>99</v>
      </c>
      <c r="B26" s="16"/>
      <c r="C26" s="16"/>
      <c r="D26" s="16"/>
      <c r="E26" s="34"/>
      <c r="F26" s="16"/>
      <c r="G26" s="16"/>
      <c r="H26" s="16"/>
      <c r="I26" s="16"/>
      <c r="J26" s="34"/>
      <c r="K26" s="16"/>
      <c r="L26" s="16"/>
      <c r="M26" s="16"/>
      <c r="N26" s="34"/>
      <c r="O26" s="16"/>
      <c r="P26" s="16"/>
      <c r="Q26" s="16"/>
      <c r="R26" s="16"/>
      <c r="S26" s="34"/>
      <c r="T26" s="16"/>
      <c r="U26" s="16"/>
      <c r="V26" s="16"/>
      <c r="W26" s="16"/>
      <c r="X26" s="35" t="n">
        <f aca="false">COUNTIF(B26:W26,1)+COUNTIF(B26:W26,"IC")</f>
        <v>0</v>
      </c>
      <c r="Y26" s="16" t="str">
        <f aca="false">IF(COUNTIF(B26:W26,"M")&gt;0,"N/A absence longue",IF(X26&gt;=2,"Atteint","Sous objectif"))</f>
        <v>Sous objectif</v>
      </c>
    </row>
    <row r="27" customFormat="false" ht="18" hidden="false" customHeight="true" outlineLevel="0" collapsed="false">
      <c r="A27" s="26" t="s">
        <v>96</v>
      </c>
      <c r="B27" s="16"/>
      <c r="C27" s="16"/>
      <c r="D27" s="16"/>
      <c r="E27" s="34"/>
      <c r="F27" s="16" t="n">
        <v>1</v>
      </c>
      <c r="G27" s="16"/>
      <c r="H27" s="16"/>
      <c r="I27" s="16"/>
      <c r="J27" s="34"/>
      <c r="K27" s="16"/>
      <c r="L27" s="16"/>
      <c r="M27" s="16"/>
      <c r="N27" s="34"/>
      <c r="O27" s="16"/>
      <c r="P27" s="16"/>
      <c r="Q27" s="16"/>
      <c r="R27" s="16"/>
      <c r="S27" s="34"/>
      <c r="T27" s="16"/>
      <c r="U27" s="16"/>
      <c r="V27" s="16"/>
      <c r="W27" s="16"/>
      <c r="X27" s="35" t="n">
        <f aca="false">COUNTIF(B27:W27,1)+COUNTIF(B27:W27,"IC")</f>
        <v>1</v>
      </c>
      <c r="Y27" s="16" t="str">
        <f aca="false">IF(COUNTIF(B27:W27,"M")&gt;0,"N/A absence longue",IF(X27&gt;=2,"Atteint","Sous objectif"))</f>
        <v>Sous objectif</v>
      </c>
    </row>
    <row r="28" customFormat="false" ht="18" hidden="false" customHeight="true" outlineLevel="0" collapsed="false">
      <c r="A28" s="26" t="s">
        <v>79</v>
      </c>
      <c r="B28" s="16"/>
      <c r="C28" s="16"/>
      <c r="D28" s="16"/>
      <c r="E28" s="34"/>
      <c r="F28" s="16"/>
      <c r="G28" s="16"/>
      <c r="H28" s="16"/>
      <c r="I28" s="16"/>
      <c r="J28" s="34"/>
      <c r="K28" s="16"/>
      <c r="L28" s="16"/>
      <c r="M28" s="16"/>
      <c r="N28" s="34"/>
      <c r="O28" s="16"/>
      <c r="P28" s="16"/>
      <c r="Q28" s="16"/>
      <c r="R28" s="16"/>
      <c r="S28" s="34"/>
      <c r="T28" s="16"/>
      <c r="U28" s="16"/>
      <c r="V28" s="16"/>
      <c r="W28" s="16"/>
      <c r="X28" s="35" t="n">
        <f aca="false">COUNTIF(B28:W28,1)+COUNTIF(B28:W28,"IC")</f>
        <v>0</v>
      </c>
      <c r="Y28" s="16" t="str">
        <f aca="false">IF(COUNTIF(B28:W28,"M")&gt;0,"N/A absence longue",IF(X28&gt;=2,"Atteint","Sous objectif"))</f>
        <v>Sous objectif</v>
      </c>
    </row>
    <row r="29" customFormat="false" ht="18" hidden="false" customHeight="true" outlineLevel="0" collapsed="false">
      <c r="A29" s="26"/>
      <c r="B29" s="16"/>
      <c r="C29" s="16"/>
      <c r="D29" s="16"/>
      <c r="E29" s="16"/>
      <c r="F29" s="16"/>
      <c r="G29" s="16"/>
      <c r="H29" s="16"/>
      <c r="I29" s="16"/>
      <c r="J29" s="16"/>
      <c r="K29" s="16"/>
      <c r="L29" s="16"/>
      <c r="M29" s="16"/>
      <c r="N29" s="16"/>
      <c r="O29" s="16"/>
      <c r="P29" s="16"/>
      <c r="Q29" s="16"/>
      <c r="R29" s="16"/>
      <c r="S29" s="16"/>
      <c r="T29" s="16"/>
      <c r="U29" s="16"/>
      <c r="V29" s="16"/>
      <c r="W29" s="16"/>
      <c r="X29" s="36"/>
      <c r="Y29" s="16"/>
    </row>
    <row r="30" customFormat="false" ht="15.75" hidden="false" customHeight="true" outlineLevel="0" collapsed="false">
      <c r="A30" s="37" t="s">
        <v>129</v>
      </c>
    </row>
    <row r="31" customFormat="false" ht="15.75" hidden="false" customHeight="true" outlineLevel="0" collapsed="false">
      <c r="A31" s="26" t="s">
        <v>119</v>
      </c>
      <c r="B31" s="16"/>
      <c r="C31" s="16"/>
      <c r="D31" s="16"/>
      <c r="E31" s="34"/>
      <c r="F31" s="16"/>
      <c r="G31" s="16"/>
      <c r="H31" s="16"/>
      <c r="I31" s="16"/>
      <c r="J31" s="34"/>
      <c r="K31" s="16"/>
      <c r="L31" s="16"/>
      <c r="M31" s="16"/>
      <c r="N31" s="34"/>
      <c r="O31" s="16"/>
      <c r="P31" s="16"/>
      <c r="Q31" s="16"/>
      <c r="R31" s="16"/>
      <c r="S31" s="34"/>
      <c r="T31" s="16"/>
      <c r="U31" s="16"/>
      <c r="V31" s="16"/>
      <c r="W31" s="16"/>
    </row>
    <row r="32" customFormat="false" ht="15.75" hidden="false" customHeight="true" outlineLevel="0" collapsed="false">
      <c r="A32" s="26" t="s">
        <v>117</v>
      </c>
      <c r="B32" s="16"/>
      <c r="C32" s="16"/>
      <c r="D32" s="16"/>
      <c r="E32" s="34"/>
      <c r="F32" s="16"/>
      <c r="G32" s="16"/>
      <c r="H32" s="16"/>
      <c r="I32" s="16"/>
      <c r="J32" s="34"/>
      <c r="K32" s="16"/>
      <c r="L32" s="16"/>
      <c r="M32" s="16"/>
      <c r="N32" s="34"/>
      <c r="O32" s="16"/>
      <c r="P32" s="16"/>
      <c r="Q32" s="16"/>
      <c r="R32" s="16"/>
      <c r="S32" s="34"/>
      <c r="T32" s="16"/>
      <c r="U32" s="16"/>
      <c r="V32" s="16"/>
      <c r="W32" s="16"/>
    </row>
    <row r="33" customFormat="false" ht="15.75" hidden="false" customHeight="true" outlineLevel="0" collapsed="false">
      <c r="A33" s="26" t="s">
        <v>130</v>
      </c>
      <c r="B33" s="16"/>
      <c r="C33" s="16"/>
      <c r="D33" s="16"/>
      <c r="E33" s="34"/>
      <c r="F33" s="16"/>
      <c r="G33" s="16"/>
      <c r="H33" s="16"/>
      <c r="I33" s="16"/>
      <c r="J33" s="34"/>
      <c r="K33" s="16"/>
      <c r="L33" s="16"/>
      <c r="M33" s="16"/>
      <c r="N33" s="34"/>
      <c r="O33" s="16"/>
      <c r="P33" s="16"/>
      <c r="Q33" s="16"/>
      <c r="R33" s="16"/>
      <c r="S33" s="34"/>
      <c r="T33" s="16"/>
      <c r="U33" s="16"/>
      <c r="V33" s="16"/>
      <c r="W33" s="16"/>
    </row>
    <row r="34" customFormat="false" ht="15" hidden="false" customHeight="true" outlineLevel="0" collapsed="false">
      <c r="A34" s="26"/>
      <c r="B34" s="16"/>
      <c r="C34" s="16"/>
      <c r="D34" s="16"/>
      <c r="E34" s="34"/>
      <c r="F34" s="16"/>
      <c r="G34" s="16"/>
      <c r="H34" s="16"/>
      <c r="I34" s="16"/>
      <c r="J34" s="34"/>
      <c r="K34" s="16"/>
      <c r="L34" s="16"/>
      <c r="M34" s="16"/>
      <c r="N34" s="34"/>
      <c r="O34" s="16"/>
      <c r="P34" s="16"/>
      <c r="Q34" s="16"/>
      <c r="R34" s="16"/>
      <c r="S34" s="34"/>
      <c r="T34" s="16"/>
      <c r="U34" s="16"/>
      <c r="V34" s="16"/>
      <c r="W34" s="16"/>
    </row>
  </sheetData>
  <conditionalFormatting sqref="B4:W28">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1:W33">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31:W33" type="list">
      <formula1>"X"</formula1>
      <formula2>0</formula2>
    </dataValidation>
    <dataValidation allowBlank="true" errorStyle="stop" operator="between" showDropDown="false" showErrorMessage="false" showInputMessage="false" sqref="B4:W28" type="list">
      <formula1>"1,IC,M"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6" activeCellId="0" sqref="D26"/>
    </sheetView>
  </sheetViews>
  <sheetFormatPr defaultColWidth="8.66796875" defaultRowHeight="15" zeroHeight="false" outlineLevelRow="0" outlineLevelCol="0"/>
  <cols>
    <col collapsed="false" customWidth="true" hidden="false" outlineLevel="0" max="1" min="1" style="3" width="14"/>
    <col collapsed="false" customWidth="true" hidden="false" outlineLevel="0" max="2" min="2" style="3" width="12"/>
    <col collapsed="false" customWidth="true" hidden="false" outlineLevel="0" max="3" min="3" style="3" width="72"/>
    <col collapsed="false" customWidth="true" hidden="false" outlineLevel="0" max="4" min="4" style="3" width="28"/>
    <col collapsed="false" customWidth="true" hidden="false" outlineLevel="0" max="5" min="5" style="3" width="40"/>
  </cols>
  <sheetData>
    <row r="1" customFormat="false" ht="17.25" hidden="false" customHeight="true" outlineLevel="0" collapsed="false">
      <c r="A1" s="9" t="s">
        <v>137</v>
      </c>
      <c r="B1" s="9"/>
      <c r="C1" s="9"/>
      <c r="D1" s="9"/>
      <c r="E1" s="9"/>
    </row>
    <row r="3" customFormat="false" ht="15" hidden="false" customHeight="true" outlineLevel="0" collapsed="false">
      <c r="A3" s="10" t="s">
        <v>39</v>
      </c>
      <c r="B3" s="10" t="s">
        <v>41</v>
      </c>
      <c r="C3" s="10" t="s">
        <v>43</v>
      </c>
      <c r="D3" s="10" t="s">
        <v>45</v>
      </c>
      <c r="E3" s="10" t="s">
        <v>47</v>
      </c>
    </row>
    <row r="4" customFormat="false" ht="15" hidden="false" customHeight="true" outlineLevel="0" collapsed="false">
      <c r="A4" s="3" t="s">
        <v>138</v>
      </c>
      <c r="B4" s="7" t="n">
        <v>45720</v>
      </c>
      <c r="C4" s="3" t="s">
        <v>139</v>
      </c>
      <c r="D4" s="3" t="s">
        <v>110</v>
      </c>
    </row>
    <row r="5" customFormat="false" ht="15" hidden="false" customHeight="true" outlineLevel="0" collapsed="false">
      <c r="A5" s="3" t="s">
        <v>140</v>
      </c>
      <c r="B5" s="7" t="n">
        <v>45734</v>
      </c>
      <c r="C5" s="3" t="s">
        <v>141</v>
      </c>
      <c r="D5" s="3" t="s">
        <v>89</v>
      </c>
    </row>
    <row r="6" customFormat="false" ht="15" hidden="false" customHeight="true" outlineLevel="0" collapsed="false">
      <c r="A6" s="3" t="s">
        <v>142</v>
      </c>
      <c r="B6" s="7" t="n">
        <v>45783</v>
      </c>
      <c r="C6" s="3" t="s">
        <v>143</v>
      </c>
      <c r="D6" s="3" t="s">
        <v>110</v>
      </c>
    </row>
    <row r="7" customFormat="false" ht="15" hidden="false" customHeight="true" outlineLevel="0" collapsed="false">
      <c r="A7" s="3" t="s">
        <v>144</v>
      </c>
      <c r="B7" s="7" t="n">
        <v>45792</v>
      </c>
      <c r="C7" s="3" t="s">
        <v>145</v>
      </c>
      <c r="D7" s="3" t="s">
        <v>110</v>
      </c>
    </row>
    <row r="8" customFormat="false" ht="15" hidden="false" customHeight="true" outlineLevel="0" collapsed="false">
      <c r="A8" s="3" t="s">
        <v>146</v>
      </c>
      <c r="B8" s="7" t="n">
        <v>45839</v>
      </c>
      <c r="C8" s="3" t="s">
        <v>147</v>
      </c>
      <c r="D8" s="3" t="s">
        <v>100</v>
      </c>
    </row>
    <row r="9" customFormat="false" ht="15" hidden="false" customHeight="true" outlineLevel="0" collapsed="false">
      <c r="A9" s="3" t="s">
        <v>148</v>
      </c>
      <c r="B9" s="7" t="n">
        <v>45869</v>
      </c>
      <c r="C9" s="3" t="s">
        <v>149</v>
      </c>
      <c r="D9" s="3" t="s">
        <v>110</v>
      </c>
    </row>
    <row r="10" customFormat="false" ht="15" hidden="false" customHeight="true" outlineLevel="0" collapsed="false">
      <c r="A10" s="3" t="s">
        <v>150</v>
      </c>
      <c r="B10" s="7" t="n">
        <v>45923</v>
      </c>
      <c r="C10" s="3" t="s">
        <v>151</v>
      </c>
      <c r="D10" s="3" t="s">
        <v>110</v>
      </c>
    </row>
    <row r="11" customFormat="false" ht="15" hidden="false" customHeight="true" outlineLevel="0" collapsed="false">
      <c r="A11" s="3" t="s">
        <v>152</v>
      </c>
      <c r="B11" s="7" t="n">
        <v>45951</v>
      </c>
      <c r="C11" s="3" t="s">
        <v>153</v>
      </c>
      <c r="D11" s="3" t="s">
        <v>110</v>
      </c>
    </row>
    <row r="12" customFormat="false" ht="15" hidden="false" customHeight="true" outlineLevel="0" collapsed="false">
      <c r="A12" s="3" t="s">
        <v>154</v>
      </c>
      <c r="B12" s="7" t="n">
        <v>45993</v>
      </c>
      <c r="C12" s="3" t="s">
        <v>155</v>
      </c>
      <c r="D12" s="3" t="s">
        <v>156</v>
      </c>
    </row>
    <row r="13" customFormat="false" ht="15" hidden="false" customHeight="true" outlineLevel="0" collapsed="false">
      <c r="A13" s="3" t="s">
        <v>157</v>
      </c>
      <c r="B13" s="7" t="n">
        <v>46044</v>
      </c>
      <c r="C13" s="3" t="s">
        <v>155</v>
      </c>
      <c r="D13" s="3" t="s">
        <v>97</v>
      </c>
    </row>
    <row r="14" customFormat="false" ht="15" hidden="false" customHeight="true" outlineLevel="0" collapsed="false">
      <c r="A14" s="3" t="s">
        <v>158</v>
      </c>
      <c r="B14" s="7" t="n">
        <v>46049</v>
      </c>
      <c r="C14" s="3" t="s">
        <v>159</v>
      </c>
      <c r="D14" s="3" t="s">
        <v>110</v>
      </c>
    </row>
    <row r="15" customFormat="false" ht="15" hidden="false" customHeight="true" outlineLevel="0" collapsed="false">
      <c r="A15" s="3" t="s">
        <v>160</v>
      </c>
      <c r="B15" s="7" t="n">
        <v>46063</v>
      </c>
      <c r="C15" s="3" t="s">
        <v>147</v>
      </c>
      <c r="D15" s="3" t="s">
        <v>100</v>
      </c>
    </row>
    <row r="16" customFormat="false" ht="15" hidden="false" customHeight="true" outlineLevel="0" collapsed="false">
      <c r="A16" s="3" t="s">
        <v>161</v>
      </c>
      <c r="B16" s="7" t="n">
        <v>46077</v>
      </c>
      <c r="C16" s="3" t="s">
        <v>162</v>
      </c>
      <c r="D16" s="3" t="s">
        <v>97</v>
      </c>
    </row>
    <row r="17" customFormat="false" ht="15" hidden="false" customHeight="true" outlineLevel="0" collapsed="false">
      <c r="A17" s="3" t="s">
        <v>163</v>
      </c>
      <c r="B17" s="7" t="n">
        <v>46098</v>
      </c>
      <c r="C17" s="3" t="s">
        <v>164</v>
      </c>
      <c r="D17" s="3" t="s">
        <v>101</v>
      </c>
    </row>
    <row r="18" customFormat="false" ht="15" hidden="false" customHeight="true" outlineLevel="0" collapsed="false">
      <c r="A18" s="3" t="s">
        <v>165</v>
      </c>
      <c r="B18" s="7" t="n">
        <v>46105</v>
      </c>
      <c r="C18" s="3" t="s">
        <v>166</v>
      </c>
      <c r="D18" s="3" t="s">
        <v>110</v>
      </c>
    </row>
    <row r="19" customFormat="false" ht="15" hidden="false" customHeight="true" outlineLevel="0" collapsed="false">
      <c r="A19" s="3" t="s">
        <v>167</v>
      </c>
      <c r="B19" s="7" t="n">
        <v>46119</v>
      </c>
      <c r="C19" s="3" t="s">
        <v>168</v>
      </c>
      <c r="D19" s="3" t="s">
        <v>80</v>
      </c>
    </row>
    <row r="20" customFormat="false" ht="15" hidden="false" customHeight="true" outlineLevel="0" collapsed="false">
      <c r="A20" s="3" t="s">
        <v>169</v>
      </c>
      <c r="B20" s="7" t="n">
        <v>46140</v>
      </c>
      <c r="C20" s="3" t="s">
        <v>170</v>
      </c>
      <c r="D20" s="3" t="s">
        <v>171</v>
      </c>
    </row>
    <row r="21" customFormat="false" ht="15" hidden="false" customHeight="true" outlineLevel="0" collapsed="false">
      <c r="A21" s="3" t="s">
        <v>172</v>
      </c>
      <c r="B21" s="7" t="n">
        <v>46161</v>
      </c>
      <c r="C21" s="3" t="s">
        <v>173</v>
      </c>
      <c r="D21" s="3" t="s">
        <v>100</v>
      </c>
    </row>
    <row r="22" customFormat="false" ht="15" hidden="false" customHeight="true" outlineLevel="0" collapsed="false">
      <c r="A22" s="3" t="s">
        <v>174</v>
      </c>
      <c r="B22" s="7" t="n">
        <v>46203</v>
      </c>
      <c r="C22" s="3" t="s">
        <v>175</v>
      </c>
      <c r="D22" s="3" t="s">
        <v>176</v>
      </c>
    </row>
    <row r="23" customFormat="false" ht="15" hidden="false" customHeight="true" outlineLevel="0" collapsed="false">
      <c r="A23" s="3" t="s">
        <v>177</v>
      </c>
      <c r="B23" s="7" t="n">
        <v>46210</v>
      </c>
      <c r="C23" s="3" t="s">
        <v>178</v>
      </c>
      <c r="D23" s="3" t="s">
        <v>97</v>
      </c>
    </row>
    <row r="24" customFormat="false" ht="15" hidden="false" customHeight="true" outlineLevel="0" collapsed="false">
      <c r="B24" s="7"/>
    </row>
    <row r="25" customFormat="false" ht="15" hidden="false" customHeight="true" outlineLevel="0" collapsed="false">
      <c r="B25" s="7"/>
    </row>
    <row r="26" customFormat="false" ht="15" hidden="false" customHeight="true" outlineLevel="0" collapsed="false">
      <c r="B26" s="7"/>
    </row>
    <row r="27" customFormat="false" ht="15" hidden="false" customHeight="true" outlineLevel="0" collapsed="false">
      <c r="B27" s="7"/>
    </row>
    <row r="28" customFormat="false" ht="15" hidden="false" customHeight="true" outlineLevel="0" collapsed="false">
      <c r="B28" s="7"/>
    </row>
    <row r="29" customFormat="false" ht="15" hidden="false" customHeight="true" outlineLevel="0" collapsed="false">
      <c r="B29" s="7"/>
    </row>
    <row r="30" customFormat="false" ht="15" hidden="false" customHeight="true" outlineLevel="0" collapsed="false">
      <c r="B30" s="7"/>
    </row>
    <row r="31" customFormat="false" ht="15" hidden="false" customHeight="true" outlineLevel="0" collapsed="false">
      <c r="B31" s="7"/>
    </row>
    <row r="32" customFormat="false" ht="15" hidden="false" customHeight="true" outlineLevel="0" collapsed="false">
      <c r="B32" s="7"/>
    </row>
    <row r="33" customFormat="false" ht="15" hidden="false" customHeight="true" outlineLevel="0" collapsed="false">
      <c r="B33" s="7"/>
    </row>
    <row r="34" customFormat="false" ht="15" hidden="false" customHeight="true" outlineLevel="0" collapsed="false">
      <c r="B34" s="7"/>
    </row>
    <row r="35" customFormat="false" ht="15" hidden="false" customHeight="true" outlineLevel="0" collapsed="false">
      <c r="B35" s="7"/>
    </row>
    <row r="36" customFormat="false" ht="15" hidden="false" customHeight="true" outlineLevel="0" collapsed="false">
      <c r="B36" s="7"/>
    </row>
    <row r="37" customFormat="false" ht="15" hidden="false" customHeight="true" outlineLevel="0" collapsed="false">
      <c r="B37" s="7"/>
    </row>
    <row r="38" customFormat="false" ht="15" hidden="false" customHeight="true" outlineLevel="0" collapsed="false">
      <c r="B38" s="7"/>
    </row>
    <row r="39" customFormat="false" ht="15" hidden="false" customHeight="true" outlineLevel="0" collapsed="false">
      <c r="B39" s="7"/>
    </row>
    <row r="40" customFormat="false" ht="15" hidden="false" customHeight="true" outlineLevel="0" collapsed="false">
      <c r="B40" s="7"/>
    </row>
    <row r="41" customFormat="false" ht="15" hidden="false" customHeight="true" outlineLevel="0" collapsed="false">
      <c r="B41" s="7"/>
    </row>
    <row r="42" customFormat="false" ht="15" hidden="false" customHeight="true" outlineLevel="0" collapsed="false">
      <c r="B42" s="7"/>
    </row>
    <row r="43" customFormat="false" ht="15" hidden="false" customHeight="true" outlineLevel="0" collapsed="false">
      <c r="B43" s="7"/>
    </row>
    <row r="44" customFormat="false" ht="15" hidden="false" customHeight="true" outlineLevel="0" collapsed="false">
      <c r="B44" s="7"/>
    </row>
    <row r="45" customFormat="false" ht="15" hidden="false" customHeight="true" outlineLevel="0" collapsed="false">
      <c r="B45" s="7"/>
    </row>
    <row r="46" customFormat="false" ht="15" hidden="false" customHeight="true" outlineLevel="0" collapsed="false">
      <c r="B46" s="7"/>
    </row>
    <row r="47" customFormat="false" ht="15" hidden="false" customHeight="true" outlineLevel="0" collapsed="false">
      <c r="B47" s="7"/>
    </row>
    <row r="48" customFormat="false" ht="15" hidden="false" customHeight="true" outlineLevel="0" collapsed="false">
      <c r="B48" s="7"/>
    </row>
    <row r="49" customFormat="false" ht="15" hidden="false" customHeight="true" outlineLevel="0" collapsed="false">
      <c r="B49" s="7"/>
    </row>
    <row r="50" customFormat="false" ht="15" hidden="false" customHeight="true" outlineLevel="0" collapsed="false">
      <c r="B50" s="7"/>
    </row>
    <row r="51" customFormat="false" ht="15" hidden="false" customHeight="true" outlineLevel="0" collapsed="false">
      <c r="B51" s="7"/>
    </row>
    <row r="52" customFormat="false" ht="15" hidden="false" customHeight="true" outlineLevel="0" collapsed="false">
      <c r="B52" s="7"/>
    </row>
    <row r="53" customFormat="false" ht="15" hidden="false" customHeight="true" outlineLevel="0" collapsed="false">
      <c r="B53" s="7"/>
    </row>
    <row r="54" customFormat="false" ht="15" hidden="false" customHeight="true" outlineLevel="0" collapsed="false">
      <c r="B54" s="7"/>
    </row>
    <row r="55" customFormat="false" ht="15" hidden="false" customHeight="true" outlineLevel="0" collapsed="false">
      <c r="B55" s="7"/>
    </row>
    <row r="56" customFormat="false" ht="15" hidden="false" customHeight="true" outlineLevel="0" collapsed="false">
      <c r="B56" s="7"/>
    </row>
    <row r="57" customFormat="false" ht="15" hidden="false" customHeight="true" outlineLevel="0" collapsed="false">
      <c r="B57" s="7"/>
    </row>
    <row r="58" customFormat="false" ht="15" hidden="false" customHeight="true" outlineLevel="0" collapsed="false">
      <c r="B58" s="7"/>
    </row>
    <row r="59" customFormat="false" ht="15" hidden="false" customHeight="true" outlineLevel="0" collapsed="false">
      <c r="B59" s="7"/>
    </row>
    <row r="60" customFormat="false" ht="15" hidden="false" customHeight="true" outlineLevel="0" collapsed="false">
      <c r="B60" s="7"/>
    </row>
    <row r="61" customFormat="false" ht="15" hidden="false" customHeight="true" outlineLevel="0" collapsed="false">
      <c r="B61" s="7"/>
    </row>
    <row r="62" customFormat="false" ht="15" hidden="false" customHeight="true" outlineLevel="0" collapsed="false">
      <c r="B62" s="7"/>
    </row>
    <row r="63" customFormat="false" ht="15" hidden="false" customHeight="true" outlineLevel="0" collapsed="false">
      <c r="B63" s="7"/>
    </row>
    <row r="64" customFormat="false" ht="15" hidden="false" customHeight="true" outlineLevel="0" collapsed="false">
      <c r="B64" s="7"/>
    </row>
    <row r="65" customFormat="false" ht="15" hidden="false" customHeight="true" outlineLevel="0" collapsed="false">
      <c r="B65" s="7"/>
    </row>
    <row r="66" customFormat="false" ht="15" hidden="false" customHeight="true" outlineLevel="0" collapsed="false">
      <c r="B66" s="7"/>
    </row>
    <row r="67" customFormat="false" ht="15" hidden="false" customHeight="true" outlineLevel="0" collapsed="false">
      <c r="B67" s="7"/>
    </row>
    <row r="68" customFormat="false" ht="15" hidden="false" customHeight="true" outlineLevel="0" collapsed="false">
      <c r="B68" s="7"/>
    </row>
    <row r="69" customFormat="false" ht="15" hidden="false" customHeight="true" outlineLevel="0" collapsed="false">
      <c r="B69" s="7"/>
    </row>
    <row r="70" customFormat="false" ht="15" hidden="false" customHeight="true" outlineLevel="0" collapsed="false">
      <c r="B70" s="7"/>
    </row>
    <row r="71" customFormat="false" ht="15" hidden="false" customHeight="true" outlineLevel="0" collapsed="false">
      <c r="B71" s="7"/>
    </row>
    <row r="72" customFormat="false" ht="15" hidden="false" customHeight="true" outlineLevel="0" collapsed="false">
      <c r="B72" s="7"/>
    </row>
    <row r="73" customFormat="false" ht="15" hidden="false" customHeight="true" outlineLevel="0" collapsed="false">
      <c r="B73" s="7"/>
    </row>
    <row r="74" customFormat="false" ht="15" hidden="false" customHeight="true" outlineLevel="0" collapsed="false">
      <c r="B74" s="7"/>
    </row>
    <row r="75" customFormat="false" ht="15" hidden="false" customHeight="true" outlineLevel="0" collapsed="false">
      <c r="B75" s="7"/>
    </row>
    <row r="76" customFormat="false" ht="15" hidden="false" customHeight="true" outlineLevel="0" collapsed="false">
      <c r="B76" s="7"/>
    </row>
    <row r="77" customFormat="false" ht="15" hidden="false" customHeight="true" outlineLevel="0" collapsed="false">
      <c r="B77" s="7"/>
    </row>
    <row r="78" customFormat="false" ht="15" hidden="false" customHeight="true" outlineLevel="0" collapsed="false">
      <c r="B78" s="7"/>
    </row>
    <row r="79" customFormat="false" ht="15" hidden="false" customHeight="true" outlineLevel="0" collapsed="false">
      <c r="B79" s="7"/>
    </row>
    <row r="80" customFormat="false" ht="15" hidden="false" customHeight="true" outlineLevel="0" collapsed="false">
      <c r="B80" s="7"/>
    </row>
    <row r="81" customFormat="false" ht="15" hidden="false" customHeight="true" outlineLevel="0" collapsed="false">
      <c r="B81" s="7"/>
    </row>
    <row r="82" customFormat="false" ht="15" hidden="false" customHeight="true" outlineLevel="0" collapsed="false">
      <c r="B82" s="7"/>
    </row>
    <row r="83" customFormat="false" ht="15" hidden="false" customHeight="true" outlineLevel="0" collapsed="false">
      <c r="B83" s="7"/>
    </row>
    <row r="84" customFormat="false" ht="15" hidden="false" customHeight="true" outlineLevel="0" collapsed="false">
      <c r="B84" s="7"/>
    </row>
    <row r="85" customFormat="false" ht="15" hidden="false" customHeight="true" outlineLevel="0" collapsed="false">
      <c r="B85" s="7"/>
    </row>
    <row r="86" customFormat="false" ht="15" hidden="false" customHeight="true" outlineLevel="0" collapsed="false">
      <c r="B86" s="7"/>
    </row>
    <row r="87" customFormat="false" ht="15" hidden="false" customHeight="true" outlineLevel="0" collapsed="false">
      <c r="B87" s="7"/>
    </row>
    <row r="88" customFormat="false" ht="15" hidden="false" customHeight="true" outlineLevel="0" collapsed="false">
      <c r="B88" s="7"/>
    </row>
    <row r="89" customFormat="false" ht="15" hidden="false" customHeight="true" outlineLevel="0" collapsed="false">
      <c r="B89" s="7"/>
    </row>
    <row r="90" customFormat="false" ht="15" hidden="false" customHeight="true" outlineLevel="0" collapsed="false">
      <c r="B90" s="7"/>
    </row>
    <row r="91" customFormat="false" ht="15" hidden="false" customHeight="true" outlineLevel="0" collapsed="false">
      <c r="B91" s="7"/>
    </row>
    <row r="92" customFormat="false" ht="15" hidden="false" customHeight="true" outlineLevel="0" collapsed="false">
      <c r="B92" s="7"/>
    </row>
    <row r="93" customFormat="false" ht="15" hidden="false" customHeight="true" outlineLevel="0" collapsed="false">
      <c r="B93" s="7"/>
    </row>
    <row r="94" customFormat="false" ht="15" hidden="false" customHeight="true" outlineLevel="0" collapsed="false">
      <c r="B94" s="7"/>
    </row>
    <row r="95" customFormat="false" ht="15" hidden="false" customHeight="true" outlineLevel="0" collapsed="false">
      <c r="B95" s="7"/>
    </row>
    <row r="96" customFormat="false" ht="15" hidden="false" customHeight="true" outlineLevel="0" collapsed="false">
      <c r="B96" s="7"/>
    </row>
    <row r="97" customFormat="false" ht="15" hidden="false" customHeight="true" outlineLevel="0" collapsed="false">
      <c r="B97" s="7"/>
    </row>
    <row r="98" customFormat="false" ht="15" hidden="false" customHeight="true" outlineLevel="0" collapsed="false">
      <c r="B98" s="7"/>
    </row>
    <row r="99" customFormat="false" ht="15" hidden="false" customHeight="true" outlineLevel="0" collapsed="false">
      <c r="B99" s="7"/>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3" width="26"/>
    <col collapsed="false" customWidth="true" hidden="false" outlineLevel="0" max="2" min="2" style="3" width="10"/>
    <col collapsed="false" customWidth="true" hidden="false" outlineLevel="0" max="26" min="3" style="3" width="13"/>
  </cols>
  <sheetData>
    <row r="1" customFormat="false" ht="17.25" hidden="false" customHeight="true" outlineLevel="0" collapsed="false">
      <c r="A1" s="9" t="s">
        <v>179</v>
      </c>
      <c r="B1" s="9"/>
      <c r="C1" s="9"/>
      <c r="D1" s="9"/>
      <c r="E1" s="9"/>
      <c r="F1" s="9"/>
      <c r="G1" s="9"/>
      <c r="H1" s="9"/>
      <c r="I1" s="9"/>
      <c r="J1" s="9"/>
      <c r="K1" s="9"/>
      <c r="L1" s="9"/>
      <c r="M1" s="9"/>
      <c r="N1" s="9"/>
      <c r="O1" s="9"/>
      <c r="P1" s="9"/>
      <c r="Q1" s="9"/>
      <c r="R1" s="9"/>
      <c r="S1" s="9"/>
      <c r="T1" s="9"/>
      <c r="U1" s="9"/>
      <c r="V1" s="9"/>
      <c r="W1" s="9"/>
      <c r="X1" s="9"/>
      <c r="Y1" s="9"/>
      <c r="Z1" s="9"/>
      <c r="AA1" s="9"/>
    </row>
    <row r="3" customFormat="false" ht="15" hidden="false" customHeight="true" outlineLevel="0" collapsed="false">
      <c r="A3" s="10" t="s">
        <v>74</v>
      </c>
      <c r="B3" s="10" t="s">
        <v>127</v>
      </c>
      <c r="C3" s="10" t="s">
        <v>138</v>
      </c>
      <c r="D3" s="10" t="s">
        <v>140</v>
      </c>
      <c r="E3" s="10" t="s">
        <v>142</v>
      </c>
      <c r="F3" s="10" t="s">
        <v>144</v>
      </c>
      <c r="G3" s="10" t="s">
        <v>146</v>
      </c>
      <c r="H3" s="10" t="s">
        <v>148</v>
      </c>
      <c r="I3" s="10" t="s">
        <v>150</v>
      </c>
      <c r="J3" s="10" t="s">
        <v>152</v>
      </c>
      <c r="K3" s="10" t="s">
        <v>154</v>
      </c>
      <c r="L3" s="10" t="s">
        <v>157</v>
      </c>
      <c r="M3" s="10" t="s">
        <v>158</v>
      </c>
      <c r="N3" s="10" t="s">
        <v>160</v>
      </c>
      <c r="O3" s="10" t="s">
        <v>161</v>
      </c>
      <c r="P3" s="10" t="s">
        <v>163</v>
      </c>
      <c r="Q3" s="10" t="s">
        <v>165</v>
      </c>
      <c r="R3" s="10" t="s">
        <v>167</v>
      </c>
      <c r="S3" s="10" t="s">
        <v>169</v>
      </c>
      <c r="T3" s="10" t="s">
        <v>172</v>
      </c>
      <c r="U3" s="38" t="s">
        <v>174</v>
      </c>
      <c r="V3" s="38" t="s">
        <v>177</v>
      </c>
    </row>
    <row r="4" customFormat="false" ht="15" hidden="false" customHeight="true" outlineLevel="0" collapsed="false">
      <c r="A4" s="15" t="s">
        <v>88</v>
      </c>
      <c r="B4" s="19" t="n">
        <f aca="false">COUNTIF(C4:XFD4,"P")+COUNTIF(C4:XFD4,"F")</f>
        <v>4</v>
      </c>
      <c r="C4" s="6"/>
      <c r="D4" s="6"/>
      <c r="E4" s="6"/>
      <c r="F4" s="6"/>
      <c r="G4" s="6"/>
      <c r="H4" s="6"/>
      <c r="I4" s="6"/>
      <c r="J4" s="6"/>
      <c r="K4" s="6"/>
      <c r="L4" s="6"/>
      <c r="M4" s="6"/>
      <c r="N4" s="6"/>
      <c r="O4" s="6" t="s">
        <v>33</v>
      </c>
      <c r="P4" s="6" t="s">
        <v>33</v>
      </c>
      <c r="Q4" s="6"/>
      <c r="R4" s="6"/>
      <c r="S4" s="6"/>
      <c r="T4" s="6" t="s">
        <v>33</v>
      </c>
      <c r="U4" s="6"/>
      <c r="V4" s="6" t="s">
        <v>33</v>
      </c>
      <c r="W4" s="6"/>
      <c r="X4" s="6"/>
      <c r="Y4" s="6"/>
      <c r="Z4" s="6"/>
    </row>
    <row r="5" customFormat="false" ht="15" hidden="false" customHeight="true" outlineLevel="0" collapsed="false">
      <c r="A5" s="15" t="s">
        <v>103</v>
      </c>
      <c r="B5" s="19" t="n">
        <f aca="false">COUNTIF(C5:XFD5,"P")+COUNTIF(C5:XFD5,"F")</f>
        <v>2</v>
      </c>
      <c r="C5" s="6"/>
      <c r="D5" s="6"/>
      <c r="E5" s="6"/>
      <c r="F5" s="6"/>
      <c r="G5" s="6"/>
      <c r="H5" s="6"/>
      <c r="I5" s="6"/>
      <c r="J5" s="6"/>
      <c r="K5" s="6"/>
      <c r="L5" s="6"/>
      <c r="M5" s="6"/>
      <c r="N5" s="6"/>
      <c r="O5" s="6"/>
      <c r="P5" s="6"/>
      <c r="Q5" s="6"/>
      <c r="R5" s="6" t="s">
        <v>33</v>
      </c>
      <c r="S5" s="6" t="s">
        <v>33</v>
      </c>
      <c r="T5" s="6"/>
      <c r="U5" s="6"/>
      <c r="V5" s="6"/>
      <c r="W5" s="6"/>
      <c r="X5" s="6"/>
      <c r="Y5" s="6"/>
      <c r="Z5" s="6"/>
    </row>
    <row r="6" customFormat="false" ht="15" hidden="false" customHeight="true" outlineLevel="0" collapsed="false">
      <c r="A6" s="15" t="s">
        <v>85</v>
      </c>
      <c r="B6" s="19" t="n">
        <f aca="false">COUNTIF(C6:XFD6,"P")+COUNTIF(C6:XFD6,"F")</f>
        <v>3</v>
      </c>
      <c r="C6" s="6"/>
      <c r="D6" s="6"/>
      <c r="E6" s="6"/>
      <c r="F6" s="6" t="s">
        <v>33</v>
      </c>
      <c r="G6" s="6"/>
      <c r="H6" s="6" t="s">
        <v>33</v>
      </c>
      <c r="I6" s="6"/>
      <c r="J6" s="6"/>
      <c r="K6" s="6"/>
      <c r="L6" s="6"/>
      <c r="M6" s="6"/>
      <c r="N6" s="6"/>
      <c r="O6" s="6"/>
      <c r="P6" s="6"/>
      <c r="Q6" s="6"/>
      <c r="R6" s="6"/>
      <c r="S6" s="6" t="s">
        <v>30</v>
      </c>
      <c r="T6" s="6"/>
      <c r="U6" s="6"/>
      <c r="V6" s="6"/>
      <c r="W6" s="6"/>
      <c r="X6" s="6"/>
      <c r="Y6" s="6"/>
      <c r="Z6" s="6"/>
    </row>
    <row r="7" customFormat="false" ht="15" hidden="false" customHeight="true" outlineLevel="0" collapsed="false">
      <c r="A7" s="15" t="s">
        <v>95</v>
      </c>
      <c r="B7" s="19" t="n">
        <f aca="false">COUNTIF(C7:XFD7,"P")+COUNTIF(C7:XFD7,"F")</f>
        <v>11</v>
      </c>
      <c r="C7" s="6"/>
      <c r="D7" s="6" t="s">
        <v>33</v>
      </c>
      <c r="E7" s="6" t="s">
        <v>33</v>
      </c>
      <c r="F7" s="6"/>
      <c r="G7" s="6" t="s">
        <v>33</v>
      </c>
      <c r="H7" s="6" t="s">
        <v>33</v>
      </c>
      <c r="I7" s="6" t="s">
        <v>33</v>
      </c>
      <c r="J7" s="6"/>
      <c r="K7" s="6" t="s">
        <v>33</v>
      </c>
      <c r="L7" s="6"/>
      <c r="M7" s="6" t="s">
        <v>33</v>
      </c>
      <c r="N7" s="6"/>
      <c r="O7" s="6" t="s">
        <v>33</v>
      </c>
      <c r="P7" s="6" t="s">
        <v>33</v>
      </c>
      <c r="Q7" s="6"/>
      <c r="R7" s="6"/>
      <c r="S7" s="6"/>
      <c r="T7" s="6" t="s">
        <v>33</v>
      </c>
      <c r="U7" s="6" t="s">
        <v>33</v>
      </c>
      <c r="V7" s="6"/>
      <c r="W7" s="6"/>
      <c r="X7" s="6"/>
      <c r="Y7" s="6"/>
      <c r="Z7" s="6"/>
    </row>
    <row r="8" customFormat="false" ht="15" hidden="false" customHeight="true" outlineLevel="0" collapsed="false">
      <c r="A8" s="15" t="s">
        <v>82</v>
      </c>
      <c r="B8" s="19" t="n">
        <f aca="false">COUNTIF(C8:XFD8,"P")+COUNTIF(C8:XFD8,"F")</f>
        <v>4</v>
      </c>
      <c r="C8" s="6"/>
      <c r="D8" s="6" t="s">
        <v>33</v>
      </c>
      <c r="E8" s="6" t="s">
        <v>33</v>
      </c>
      <c r="F8" s="6"/>
      <c r="G8" s="6"/>
      <c r="H8" s="6"/>
      <c r="I8" s="6"/>
      <c r="J8" s="6"/>
      <c r="K8" s="6" t="s">
        <v>33</v>
      </c>
      <c r="L8" s="6"/>
      <c r="M8" s="6"/>
      <c r="N8" s="6"/>
      <c r="O8" s="6"/>
      <c r="P8" s="6"/>
      <c r="Q8" s="6"/>
      <c r="R8" s="6" t="s">
        <v>33</v>
      </c>
      <c r="S8" s="6"/>
      <c r="T8" s="6"/>
      <c r="U8" s="6"/>
      <c r="V8" s="6"/>
      <c r="W8" s="6"/>
      <c r="X8" s="6"/>
      <c r="Y8" s="6"/>
      <c r="Z8" s="6"/>
    </row>
    <row r="9" customFormat="false" ht="15" hidden="false" customHeight="true" outlineLevel="0" collapsed="false">
      <c r="A9" s="15" t="s">
        <v>97</v>
      </c>
      <c r="B9" s="19" t="n">
        <f aca="false">COUNTIF(C9:XFD9,"P")+COUNTIF(C9:XFD9,"F")</f>
        <v>13</v>
      </c>
      <c r="C9" s="6" t="s">
        <v>33</v>
      </c>
      <c r="D9" s="6"/>
      <c r="E9" s="6"/>
      <c r="F9" s="6" t="s">
        <v>33</v>
      </c>
      <c r="G9" s="6"/>
      <c r="H9" s="6"/>
      <c r="I9" s="6" t="s">
        <v>33</v>
      </c>
      <c r="J9" s="6" t="s">
        <v>33</v>
      </c>
      <c r="K9" s="6" t="s">
        <v>30</v>
      </c>
      <c r="L9" s="6" t="s">
        <v>30</v>
      </c>
      <c r="M9" s="6" t="s">
        <v>33</v>
      </c>
      <c r="N9" s="6" t="s">
        <v>33</v>
      </c>
      <c r="O9" s="6" t="s">
        <v>30</v>
      </c>
      <c r="P9" s="6" t="s">
        <v>33</v>
      </c>
      <c r="Q9" s="6"/>
      <c r="R9" s="6"/>
      <c r="S9" s="6"/>
      <c r="T9" s="6" t="s">
        <v>33</v>
      </c>
      <c r="U9" s="6" t="s">
        <v>33</v>
      </c>
      <c r="V9" s="6" t="s">
        <v>30</v>
      </c>
      <c r="W9" s="6"/>
      <c r="X9" s="6"/>
      <c r="Y9" s="6"/>
      <c r="Z9" s="6"/>
    </row>
    <row r="10" customFormat="false" ht="15" hidden="false" customHeight="true" outlineLevel="0" collapsed="false">
      <c r="A10" s="15" t="s">
        <v>93</v>
      </c>
      <c r="B10" s="19" t="n">
        <f aca="false">COUNTIF(C10:XFD10,"P")+COUNTIF(C10:XFD10,"F")</f>
        <v>1</v>
      </c>
      <c r="C10" s="6"/>
      <c r="D10" s="6"/>
      <c r="E10" s="6"/>
      <c r="F10" s="6"/>
      <c r="G10" s="6"/>
      <c r="H10" s="6"/>
      <c r="I10" s="6"/>
      <c r="J10" s="6"/>
      <c r="K10" s="6"/>
      <c r="L10" s="6"/>
      <c r="M10" s="6"/>
      <c r="N10" s="6"/>
      <c r="O10" s="6"/>
      <c r="P10" s="6"/>
      <c r="Q10" s="6"/>
      <c r="R10" s="6"/>
      <c r="S10" s="6"/>
      <c r="T10" s="6"/>
      <c r="U10" s="6" t="s">
        <v>30</v>
      </c>
      <c r="V10" s="6"/>
      <c r="W10" s="6"/>
      <c r="X10" s="6"/>
      <c r="Y10" s="6"/>
      <c r="Z10" s="6"/>
    </row>
    <row r="11" customFormat="false" ht="15" hidden="false" customHeight="true" outlineLevel="0" collapsed="false">
      <c r="A11" s="15" t="s">
        <v>81</v>
      </c>
      <c r="B11" s="19" t="n">
        <f aca="false">COUNTIF(C11:XFD11,"P")+COUNTIF(C11:XFD11,"F")</f>
        <v>3</v>
      </c>
      <c r="C11" s="6"/>
      <c r="D11" s="6"/>
      <c r="E11" s="6"/>
      <c r="F11" s="6"/>
      <c r="G11" s="6"/>
      <c r="H11" s="6"/>
      <c r="I11" s="6"/>
      <c r="J11" s="6"/>
      <c r="K11" s="6"/>
      <c r="L11" s="6" t="s">
        <v>33</v>
      </c>
      <c r="M11" s="6"/>
      <c r="N11" s="6"/>
      <c r="O11" s="6" t="s">
        <v>33</v>
      </c>
      <c r="P11" s="6"/>
      <c r="Q11" s="6"/>
      <c r="R11" s="6"/>
      <c r="S11" s="6" t="s">
        <v>33</v>
      </c>
      <c r="T11" s="6"/>
      <c r="U11" s="6"/>
      <c r="V11" s="6"/>
      <c r="W11" s="6"/>
      <c r="X11" s="6"/>
      <c r="Y11" s="6"/>
      <c r="Z11" s="6"/>
    </row>
    <row r="12" customFormat="false" ht="15" hidden="false" customHeight="true" outlineLevel="0" collapsed="false">
      <c r="A12" s="15" t="s">
        <v>78</v>
      </c>
      <c r="B12" s="19" t="n">
        <f aca="false">COUNTIF(C12:XFD12,"P")+COUNTIF(C12:XFD12,"F")</f>
        <v>3</v>
      </c>
      <c r="C12" s="6"/>
      <c r="D12" s="6"/>
      <c r="E12" s="6"/>
      <c r="F12" s="6"/>
      <c r="G12" s="6"/>
      <c r="H12" s="6"/>
      <c r="I12" s="6"/>
      <c r="J12" s="6"/>
      <c r="K12" s="6"/>
      <c r="L12" s="6"/>
      <c r="M12" s="6"/>
      <c r="N12" s="6"/>
      <c r="O12" s="6"/>
      <c r="P12" s="6"/>
      <c r="Q12" s="6"/>
      <c r="R12" s="6" t="s">
        <v>33</v>
      </c>
      <c r="S12" s="6"/>
      <c r="T12" s="6" t="s">
        <v>33</v>
      </c>
      <c r="U12" s="6"/>
      <c r="V12" s="6" t="s">
        <v>33</v>
      </c>
      <c r="W12" s="6"/>
      <c r="X12" s="6"/>
      <c r="Y12" s="6"/>
      <c r="Z12" s="6"/>
    </row>
    <row r="13" customFormat="false" ht="15" hidden="false" customHeight="true" outlineLevel="0" collapsed="false">
      <c r="A13" s="15" t="s">
        <v>101</v>
      </c>
      <c r="B13" s="19" t="n">
        <f aca="false">COUNTIF(C13:XFD13,"P")+COUNTIF(C13:XFD13,"F")</f>
        <v>5</v>
      </c>
      <c r="C13" s="6"/>
      <c r="D13" s="6"/>
      <c r="E13" s="6"/>
      <c r="F13" s="6"/>
      <c r="G13" s="6"/>
      <c r="H13" s="6"/>
      <c r="I13" s="6"/>
      <c r="J13" s="6"/>
      <c r="K13" s="6" t="s">
        <v>33</v>
      </c>
      <c r="L13" s="6"/>
      <c r="M13" s="6"/>
      <c r="N13" s="6"/>
      <c r="O13" s="6"/>
      <c r="P13" s="6" t="s">
        <v>30</v>
      </c>
      <c r="Q13" s="6"/>
      <c r="R13" s="6"/>
      <c r="S13" s="6" t="s">
        <v>30</v>
      </c>
      <c r="T13" s="6"/>
      <c r="U13" s="6" t="s">
        <v>30</v>
      </c>
      <c r="V13" s="6" t="s">
        <v>33</v>
      </c>
      <c r="W13" s="6"/>
      <c r="X13" s="6"/>
      <c r="Y13" s="6"/>
      <c r="Z13" s="6"/>
    </row>
    <row r="14" customFormat="false" ht="15" hidden="false" customHeight="true" outlineLevel="0" collapsed="false">
      <c r="A14" s="15" t="s">
        <v>89</v>
      </c>
      <c r="B14" s="19" t="n">
        <f aca="false">COUNTIF(C14:XFD14,"P")+COUNTIF(C14:XFD14,"F")</f>
        <v>7</v>
      </c>
      <c r="C14" s="6" t="s">
        <v>33</v>
      </c>
      <c r="D14" s="6" t="s">
        <v>30</v>
      </c>
      <c r="E14" s="6"/>
      <c r="F14" s="6" t="s">
        <v>33</v>
      </c>
      <c r="G14" s="6" t="s">
        <v>33</v>
      </c>
      <c r="H14" s="6"/>
      <c r="I14" s="6" t="s">
        <v>33</v>
      </c>
      <c r="J14" s="6"/>
      <c r="K14" s="6"/>
      <c r="L14" s="6"/>
      <c r="M14" s="6"/>
      <c r="N14" s="6"/>
      <c r="O14" s="6"/>
      <c r="P14" s="6"/>
      <c r="Q14" s="6"/>
      <c r="R14" s="6"/>
      <c r="S14" s="6" t="s">
        <v>33</v>
      </c>
      <c r="T14" s="6"/>
      <c r="U14" s="6" t="s">
        <v>33</v>
      </c>
      <c r="V14" s="6"/>
      <c r="W14" s="6"/>
      <c r="X14" s="6"/>
      <c r="Y14" s="6"/>
      <c r="Z14" s="6"/>
    </row>
    <row r="15" customFormat="false" ht="15" hidden="false" customHeight="true" outlineLevel="0" collapsed="false">
      <c r="A15" s="15" t="s">
        <v>102</v>
      </c>
      <c r="B15" s="19" t="n">
        <f aca="false">COUNTIF(C15:XFD15,"P")+COUNTIF(C15:XFD15,"F")</f>
        <v>8</v>
      </c>
      <c r="C15" s="6"/>
      <c r="D15" s="6"/>
      <c r="E15" s="6"/>
      <c r="F15" s="6"/>
      <c r="G15" s="6"/>
      <c r="H15" s="6"/>
      <c r="I15" s="6"/>
      <c r="J15" s="6"/>
      <c r="K15" s="6" t="s">
        <v>33</v>
      </c>
      <c r="L15" s="6"/>
      <c r="M15" s="6" t="s">
        <v>33</v>
      </c>
      <c r="N15" s="6" t="s">
        <v>33</v>
      </c>
      <c r="O15" s="6" t="s">
        <v>33</v>
      </c>
      <c r="P15" s="6" t="s">
        <v>33</v>
      </c>
      <c r="Q15" s="6"/>
      <c r="R15" s="6"/>
      <c r="S15" s="6"/>
      <c r="T15" s="6" t="s">
        <v>33</v>
      </c>
      <c r="U15" s="6" t="s">
        <v>33</v>
      </c>
      <c r="V15" s="6" t="s">
        <v>33</v>
      </c>
      <c r="W15" s="6"/>
      <c r="X15" s="6"/>
      <c r="Y15" s="6"/>
      <c r="Z15" s="6"/>
    </row>
    <row r="16" customFormat="false" ht="15" hidden="false" customHeight="true" outlineLevel="0" collapsed="false">
      <c r="A16" s="15" t="s">
        <v>92</v>
      </c>
      <c r="B16" s="19" t="n">
        <f aca="false">COUNTIF(C16:XFD16,"P")+COUNTIF(C16:XFD16,"F")</f>
        <v>6</v>
      </c>
      <c r="C16" s="6"/>
      <c r="D16" s="6"/>
      <c r="E16" s="6"/>
      <c r="F16" s="6"/>
      <c r="G16" s="6"/>
      <c r="H16" s="6"/>
      <c r="I16" s="6"/>
      <c r="J16" s="6" t="s">
        <v>33</v>
      </c>
      <c r="K16" s="6" t="s">
        <v>33</v>
      </c>
      <c r="L16" s="6"/>
      <c r="M16" s="6"/>
      <c r="N16" s="6" t="s">
        <v>33</v>
      </c>
      <c r="O16" s="6"/>
      <c r="P16" s="6"/>
      <c r="Q16" s="6"/>
      <c r="R16" s="6" t="s">
        <v>33</v>
      </c>
      <c r="S16" s="6"/>
      <c r="T16" s="6"/>
      <c r="U16" s="6" t="s">
        <v>33</v>
      </c>
      <c r="V16" s="6" t="s">
        <v>33</v>
      </c>
      <c r="W16" s="6"/>
      <c r="X16" s="6"/>
      <c r="Y16" s="6"/>
      <c r="Z16" s="6"/>
    </row>
    <row r="17" customFormat="false" ht="15" hidden="false" customHeight="true" outlineLevel="0" collapsed="false">
      <c r="A17" s="15" t="s">
        <v>100</v>
      </c>
      <c r="B17" s="19" t="n">
        <f aca="false">COUNTIF(C17:XFD17,"P")+COUNTIF(C17:XFD17,"F")</f>
        <v>9</v>
      </c>
      <c r="C17" s="6"/>
      <c r="D17" s="6" t="s">
        <v>33</v>
      </c>
      <c r="E17" s="6" t="s">
        <v>33</v>
      </c>
      <c r="F17" s="6"/>
      <c r="G17" s="6" t="s">
        <v>30</v>
      </c>
      <c r="H17" s="6"/>
      <c r="I17" s="6"/>
      <c r="J17" s="6" t="s">
        <v>33</v>
      </c>
      <c r="K17" s="6" t="s">
        <v>33</v>
      </c>
      <c r="L17" s="6"/>
      <c r="M17" s="6"/>
      <c r="N17" s="6" t="s">
        <v>30</v>
      </c>
      <c r="O17" s="6"/>
      <c r="P17" s="6"/>
      <c r="Q17" s="6"/>
      <c r="R17" s="6" t="s">
        <v>33</v>
      </c>
      <c r="S17" s="6" t="s">
        <v>33</v>
      </c>
      <c r="T17" s="6" t="s">
        <v>30</v>
      </c>
      <c r="U17" s="6"/>
      <c r="V17" s="6"/>
      <c r="W17" s="6"/>
      <c r="X17" s="6"/>
      <c r="Y17" s="6"/>
      <c r="Z17" s="6"/>
    </row>
    <row r="18" customFormat="false" ht="15" hidden="false" customHeight="true" outlineLevel="0" collapsed="false">
      <c r="A18" s="15" t="s">
        <v>110</v>
      </c>
      <c r="B18" s="19" t="n">
        <f aca="false">COUNTIF(C18:XFD18,"P")+COUNTIF(C18:XFD18,"F")</f>
        <v>16</v>
      </c>
      <c r="C18" s="6" t="s">
        <v>30</v>
      </c>
      <c r="D18" s="6" t="s">
        <v>33</v>
      </c>
      <c r="E18" s="6" t="s">
        <v>30</v>
      </c>
      <c r="F18" s="6" t="s">
        <v>30</v>
      </c>
      <c r="G18" s="6" t="s">
        <v>33</v>
      </c>
      <c r="H18" s="6" t="s">
        <v>30</v>
      </c>
      <c r="I18" s="6" t="s">
        <v>30</v>
      </c>
      <c r="J18" s="6" t="s">
        <v>30</v>
      </c>
      <c r="K18" s="6"/>
      <c r="L18" s="6" t="s">
        <v>33</v>
      </c>
      <c r="M18" s="6" t="s">
        <v>30</v>
      </c>
      <c r="N18" s="6"/>
      <c r="O18" s="6" t="s">
        <v>33</v>
      </c>
      <c r="P18" s="6"/>
      <c r="Q18" s="6" t="s">
        <v>30</v>
      </c>
      <c r="R18" s="6" t="s">
        <v>33</v>
      </c>
      <c r="S18" s="6" t="s">
        <v>33</v>
      </c>
      <c r="T18" s="6" t="s">
        <v>33</v>
      </c>
      <c r="U18" s="6" t="s">
        <v>33</v>
      </c>
      <c r="V18" s="6"/>
      <c r="W18" s="6"/>
      <c r="X18" s="6"/>
      <c r="Y18" s="6"/>
      <c r="Z18" s="6"/>
    </row>
    <row r="19" customFormat="false" ht="15" hidden="false" customHeight="true" outlineLevel="0" collapsed="false">
      <c r="A19" s="15" t="s">
        <v>91</v>
      </c>
      <c r="B19" s="19" t="n">
        <f aca="false">COUNTIF(C19:XFD19,"P")+COUNTIF(C19:XFD19,"F")</f>
        <v>6</v>
      </c>
      <c r="C19" s="6" t="s">
        <v>33</v>
      </c>
      <c r="D19" s="6"/>
      <c r="E19" s="6" t="s">
        <v>33</v>
      </c>
      <c r="F19" s="6"/>
      <c r="G19" s="6"/>
      <c r="H19" s="6" t="s">
        <v>33</v>
      </c>
      <c r="I19" s="6"/>
      <c r="J19" s="6"/>
      <c r="K19" s="6"/>
      <c r="L19" s="6"/>
      <c r="M19" s="6"/>
      <c r="N19" s="6"/>
      <c r="O19" s="6" t="s">
        <v>33</v>
      </c>
      <c r="P19" s="6"/>
      <c r="Q19" s="6"/>
      <c r="R19" s="6"/>
      <c r="S19" s="6" t="s">
        <v>33</v>
      </c>
      <c r="T19" s="6"/>
      <c r="U19" s="6"/>
      <c r="V19" s="6" t="s">
        <v>33</v>
      </c>
      <c r="W19" s="6"/>
      <c r="X19" s="6"/>
      <c r="Y19" s="6"/>
      <c r="Z19" s="6"/>
    </row>
    <row r="20" customFormat="false" ht="15" hidden="false" customHeight="true" outlineLevel="0" collapsed="false">
      <c r="A20" s="15" t="s">
        <v>83</v>
      </c>
      <c r="B20" s="19" t="n">
        <f aca="false">COUNTIF(C20:XFD20,"P")+COUNTIF(C20:XFD20,"F")</f>
        <v>4</v>
      </c>
      <c r="C20" s="6" t="s">
        <v>33</v>
      </c>
      <c r="D20" s="6"/>
      <c r="E20" s="6"/>
      <c r="F20" s="6"/>
      <c r="G20" s="6"/>
      <c r="H20" s="6"/>
      <c r="I20" s="6" t="s">
        <v>33</v>
      </c>
      <c r="J20" s="6"/>
      <c r="K20" s="6"/>
      <c r="L20" s="6"/>
      <c r="M20" s="6"/>
      <c r="N20" s="6" t="s">
        <v>33</v>
      </c>
      <c r="O20" s="6"/>
      <c r="P20" s="6" t="s">
        <v>33</v>
      </c>
      <c r="Q20" s="6"/>
      <c r="R20" s="6"/>
      <c r="S20" s="6"/>
      <c r="T20" s="6"/>
      <c r="U20" s="6"/>
      <c r="V20" s="6"/>
      <c r="W20" s="6"/>
      <c r="X20" s="6"/>
      <c r="Y20" s="6"/>
      <c r="Z20" s="6"/>
    </row>
    <row r="21" customFormat="false" ht="15" hidden="false" customHeight="true" outlineLevel="0" collapsed="false">
      <c r="A21" s="15" t="s">
        <v>80</v>
      </c>
      <c r="B21" s="19" t="n">
        <f aca="false">COUNTIF(C21:XFD21,"P")+COUNTIF(C21:XFD21,"F")</f>
        <v>5</v>
      </c>
      <c r="C21" s="6"/>
      <c r="D21" s="6"/>
      <c r="E21" s="6" t="s">
        <v>33</v>
      </c>
      <c r="F21" s="6" t="s">
        <v>33</v>
      </c>
      <c r="G21" s="6"/>
      <c r="H21" s="6"/>
      <c r="I21" s="6"/>
      <c r="J21" s="6" t="s">
        <v>33</v>
      </c>
      <c r="K21" s="6" t="s">
        <v>30</v>
      </c>
      <c r="L21" s="6"/>
      <c r="M21" s="6"/>
      <c r="N21" s="6"/>
      <c r="O21" s="6"/>
      <c r="P21" s="6"/>
      <c r="Q21" s="6"/>
      <c r="R21" s="6" t="s">
        <v>30</v>
      </c>
      <c r="S21" s="6"/>
      <c r="T21" s="6"/>
      <c r="U21" s="6"/>
      <c r="V21" s="6"/>
      <c r="W21" s="6"/>
      <c r="X21" s="6"/>
      <c r="Y21" s="6"/>
      <c r="Z21" s="6"/>
    </row>
    <row r="22" customFormat="false" ht="15" hidden="false" customHeight="true" outlineLevel="0" collapsed="false">
      <c r="A22" s="15" t="s">
        <v>87</v>
      </c>
      <c r="B22" s="19" t="n">
        <f aca="false">COUNTIF(C22:XFD22,"P")+COUNTIF(C22:XFD22,"F")</f>
        <v>3</v>
      </c>
      <c r="C22" s="6"/>
      <c r="D22" s="6"/>
      <c r="E22" s="6"/>
      <c r="F22" s="6"/>
      <c r="G22" s="6"/>
      <c r="H22" s="6"/>
      <c r="I22" s="6"/>
      <c r="J22" s="6"/>
      <c r="K22" s="6"/>
      <c r="L22" s="6"/>
      <c r="M22" s="6"/>
      <c r="N22" s="6"/>
      <c r="O22" s="6"/>
      <c r="P22" s="6"/>
      <c r="Q22" s="6" t="s">
        <v>33</v>
      </c>
      <c r="R22" s="6"/>
      <c r="S22" s="6"/>
      <c r="T22" s="6"/>
      <c r="U22" s="6" t="s">
        <v>33</v>
      </c>
      <c r="V22" s="6" t="s">
        <v>33</v>
      </c>
      <c r="W22" s="6"/>
      <c r="X22" s="6"/>
      <c r="Y22" s="6"/>
      <c r="Z22" s="6"/>
    </row>
    <row r="23" customFormat="false" ht="15" hidden="false" customHeight="true" outlineLevel="0" collapsed="false">
      <c r="A23" s="15" t="s">
        <v>90</v>
      </c>
      <c r="B23" s="19" t="n">
        <f aca="false">COUNTIF(C23:XFD23,"P")+COUNTIF(C23:XFD23,"F")</f>
        <v>6</v>
      </c>
      <c r="C23" s="6"/>
      <c r="D23" s="6" t="s">
        <v>33</v>
      </c>
      <c r="E23" s="6" t="s">
        <v>33</v>
      </c>
      <c r="F23" s="6" t="s">
        <v>33</v>
      </c>
      <c r="G23" s="6" t="s">
        <v>33</v>
      </c>
      <c r="H23" s="6" t="s">
        <v>33</v>
      </c>
      <c r="I23" s="6" t="s">
        <v>33</v>
      </c>
      <c r="J23" s="6"/>
      <c r="K23" s="6"/>
      <c r="L23" s="6"/>
      <c r="M23" s="6"/>
      <c r="N23" s="6"/>
      <c r="O23" s="6"/>
      <c r="P23" s="6"/>
      <c r="Q23" s="6"/>
      <c r="R23" s="6"/>
      <c r="S23" s="6"/>
      <c r="T23" s="6"/>
      <c r="U23" s="6"/>
      <c r="V23" s="6"/>
      <c r="W23" s="6"/>
      <c r="X23" s="6"/>
      <c r="Y23" s="6"/>
      <c r="Z23" s="6"/>
    </row>
    <row r="24" customFormat="false" ht="15" hidden="false" customHeight="true" outlineLevel="0" collapsed="false">
      <c r="A24" s="15" t="s">
        <v>99</v>
      </c>
      <c r="B24" s="19" t="n">
        <f aca="false">COUNTIF(C24:XFD24,"P")+COUNTIF(C24:XFD24,"F")</f>
        <v>2</v>
      </c>
      <c r="C24" s="6"/>
      <c r="D24" s="6"/>
      <c r="E24" s="6"/>
      <c r="F24" s="6"/>
      <c r="G24" s="6"/>
      <c r="H24" s="6"/>
      <c r="I24" s="6"/>
      <c r="J24" s="6"/>
      <c r="K24" s="6"/>
      <c r="L24" s="6"/>
      <c r="M24" s="6"/>
      <c r="N24" s="6"/>
      <c r="O24" s="6"/>
      <c r="P24" s="6"/>
      <c r="Q24" s="6"/>
      <c r="R24" s="6"/>
      <c r="S24" s="6" t="s">
        <v>33</v>
      </c>
      <c r="T24" s="6"/>
      <c r="U24" s="6" t="s">
        <v>33</v>
      </c>
      <c r="V24" s="6"/>
      <c r="W24" s="6"/>
      <c r="X24" s="6"/>
      <c r="Y24" s="6"/>
      <c r="Z24" s="6"/>
    </row>
    <row r="25" customFormat="false" ht="15" hidden="false" customHeight="true" outlineLevel="0" collapsed="false">
      <c r="A25" s="15" t="s">
        <v>96</v>
      </c>
      <c r="B25" s="19" t="n">
        <f aca="false">COUNTIF(C25:XFD25,"P")+COUNTIF(C25:XFD25,"F")</f>
        <v>8</v>
      </c>
      <c r="C25" s="6"/>
      <c r="D25" s="6"/>
      <c r="E25" s="6"/>
      <c r="F25" s="6"/>
      <c r="G25" s="6"/>
      <c r="H25" s="6"/>
      <c r="I25" s="6"/>
      <c r="J25" s="6"/>
      <c r="K25" s="6" t="s">
        <v>33</v>
      </c>
      <c r="L25" s="6"/>
      <c r="M25" s="6" t="s">
        <v>33</v>
      </c>
      <c r="N25" s="6" t="s">
        <v>33</v>
      </c>
      <c r="O25" s="6" t="s">
        <v>33</v>
      </c>
      <c r="P25" s="6" t="s">
        <v>33</v>
      </c>
      <c r="Q25" s="6" t="s">
        <v>33</v>
      </c>
      <c r="R25" s="6"/>
      <c r="S25" s="6"/>
      <c r="T25" s="6" t="s">
        <v>33</v>
      </c>
      <c r="U25" s="6"/>
      <c r="V25" s="6" t="s">
        <v>33</v>
      </c>
      <c r="W25" s="6"/>
      <c r="X25" s="6"/>
      <c r="Y25" s="6"/>
      <c r="Z25" s="6"/>
    </row>
    <row r="26" customFormat="false" ht="15" hidden="false" customHeight="true" outlineLevel="0" collapsed="false">
      <c r="A26" s="15" t="s">
        <v>79</v>
      </c>
      <c r="B26" s="19" t="n">
        <f aca="false">COUNTIF(C26:XFD26,"P")+COUNTIF(C26:XFD26,"F")</f>
        <v>9</v>
      </c>
      <c r="C26" s="6" t="s">
        <v>33</v>
      </c>
      <c r="D26" s="6"/>
      <c r="E26" s="6" t="s">
        <v>33</v>
      </c>
      <c r="F26" s="6"/>
      <c r="G26" s="6"/>
      <c r="H26" s="6" t="s">
        <v>33</v>
      </c>
      <c r="I26" s="6"/>
      <c r="J26" s="6" t="s">
        <v>33</v>
      </c>
      <c r="K26" s="6" t="s">
        <v>33</v>
      </c>
      <c r="L26" s="6"/>
      <c r="M26" s="6"/>
      <c r="N26" s="6" t="s">
        <v>33</v>
      </c>
      <c r="O26" s="6" t="s">
        <v>33</v>
      </c>
      <c r="P26" s="6" t="s">
        <v>33</v>
      </c>
      <c r="Q26" s="6" t="s">
        <v>33</v>
      </c>
      <c r="R26" s="6"/>
      <c r="S26" s="6"/>
      <c r="T26" s="6"/>
      <c r="U26" s="6"/>
      <c r="V26" s="6"/>
      <c r="W26" s="6"/>
      <c r="X26" s="6"/>
      <c r="Y26" s="6"/>
      <c r="Z26" s="6"/>
    </row>
    <row r="27" customFormat="false" ht="15" hidden="false" customHeight="true" outlineLevel="0" collapsed="false">
      <c r="A27" s="39" t="s">
        <v>104</v>
      </c>
      <c r="B27" s="19" t="n">
        <f aca="false">COUNTIF(C27:XFD27,"P")+COUNTIF(C27:XFD27,"F")</f>
        <v>1</v>
      </c>
      <c r="C27" s="6"/>
      <c r="D27" s="6"/>
      <c r="E27" s="6"/>
      <c r="F27" s="6"/>
      <c r="G27" s="6"/>
      <c r="H27" s="6" t="s">
        <v>33</v>
      </c>
      <c r="I27" s="6"/>
      <c r="J27" s="6"/>
      <c r="K27" s="6"/>
      <c r="L27" s="6"/>
      <c r="M27" s="6"/>
      <c r="N27" s="6"/>
      <c r="O27" s="6"/>
      <c r="P27" s="6"/>
      <c r="Q27" s="6"/>
      <c r="R27" s="6"/>
      <c r="S27" s="6"/>
      <c r="T27" s="6"/>
      <c r="U27" s="6"/>
      <c r="V27" s="6"/>
      <c r="W27" s="6"/>
      <c r="X27" s="6"/>
      <c r="Y27" s="6"/>
      <c r="Z27" s="6"/>
    </row>
    <row r="28" customFormat="false" ht="15" hidden="false" customHeight="true" outlineLevel="0" collapsed="false">
      <c r="A28" s="39" t="s">
        <v>107</v>
      </c>
      <c r="B28" s="19" t="n">
        <f aca="false">COUNTIF(C28:XFD28,"P")+COUNTIF(C28:XFD28,"F")</f>
        <v>1</v>
      </c>
      <c r="C28" s="6"/>
      <c r="D28" s="6" t="s">
        <v>33</v>
      </c>
      <c r="E28" s="6"/>
      <c r="F28" s="6"/>
      <c r="G28" s="6"/>
      <c r="H28" s="6"/>
      <c r="I28" s="6"/>
      <c r="J28" s="6"/>
      <c r="K28" s="6"/>
      <c r="L28" s="6"/>
      <c r="M28" s="6"/>
      <c r="N28" s="6"/>
      <c r="O28" s="6"/>
      <c r="P28" s="6"/>
      <c r="Q28" s="6"/>
      <c r="R28" s="6"/>
      <c r="S28" s="6"/>
      <c r="T28" s="6"/>
      <c r="U28" s="6"/>
      <c r="V28" s="6"/>
      <c r="W28" s="6"/>
      <c r="X28" s="6"/>
      <c r="Y28" s="6"/>
      <c r="Z28" s="6"/>
    </row>
    <row r="29" customFormat="false" ht="15" hidden="false" customHeight="true" outlineLevel="0" collapsed="false">
      <c r="A29" s="39" t="s">
        <v>112</v>
      </c>
      <c r="B29" s="19" t="n">
        <f aca="false">COUNTIF(C29:XFD29,"P")+COUNTIF(C29:XFD29,"F")</f>
        <v>2</v>
      </c>
      <c r="C29" s="6"/>
      <c r="D29" s="6"/>
      <c r="E29" s="6"/>
      <c r="F29" s="6"/>
      <c r="G29" s="6"/>
      <c r="H29" s="6"/>
      <c r="I29" s="6"/>
      <c r="J29" s="6"/>
      <c r="K29" s="6"/>
      <c r="L29" s="6"/>
      <c r="M29" s="6"/>
      <c r="N29" s="6"/>
      <c r="O29" s="6"/>
      <c r="P29" s="6"/>
      <c r="Q29" s="6"/>
      <c r="R29" s="6"/>
      <c r="S29" s="6"/>
      <c r="T29" s="6"/>
      <c r="U29" s="6" t="s">
        <v>33</v>
      </c>
      <c r="V29" s="6" t="s">
        <v>33</v>
      </c>
      <c r="W29" s="6"/>
      <c r="X29" s="6"/>
      <c r="Y29" s="6"/>
      <c r="Z29" s="6"/>
    </row>
    <row r="30" customFormat="false" ht="15" hidden="false" customHeight="true" outlineLevel="0" collapsed="false">
      <c r="A30" s="39" t="s">
        <v>94</v>
      </c>
      <c r="B30" s="19" t="n">
        <f aca="false">COUNTIF(C30:XFD30,"P")+COUNTIF(C30:XFD30,"F")</f>
        <v>8</v>
      </c>
      <c r="C30" s="6"/>
      <c r="D30" s="6"/>
      <c r="E30" s="6"/>
      <c r="F30" s="6"/>
      <c r="G30" s="6"/>
      <c r="H30" s="6"/>
      <c r="I30" s="6"/>
      <c r="J30" s="6"/>
      <c r="K30" s="6"/>
      <c r="L30" s="6"/>
      <c r="M30" s="6" t="s">
        <v>33</v>
      </c>
      <c r="N30" s="6" t="s">
        <v>33</v>
      </c>
      <c r="O30" s="6" t="s">
        <v>33</v>
      </c>
      <c r="P30" s="6" t="s">
        <v>33</v>
      </c>
      <c r="Q30" s="6" t="s">
        <v>33</v>
      </c>
      <c r="R30" s="6" t="s">
        <v>33</v>
      </c>
      <c r="S30" s="6" t="s">
        <v>33</v>
      </c>
      <c r="T30" s="6" t="s">
        <v>33</v>
      </c>
      <c r="U30" s="6"/>
      <c r="V30" s="6"/>
      <c r="W30" s="6"/>
      <c r="X30" s="6"/>
      <c r="Y30" s="6"/>
      <c r="Z30" s="6"/>
    </row>
    <row r="31" customFormat="false" ht="15" hidden="false" customHeight="true" outlineLevel="0" collapsed="false">
      <c r="A31" s="39" t="s">
        <v>105</v>
      </c>
      <c r="B31" s="19" t="n">
        <f aca="false">COUNTIF(C31:XFD31,"P")+COUNTIF(C31:XFD31,"F")</f>
        <v>2</v>
      </c>
      <c r="C31" s="6" t="s">
        <v>33</v>
      </c>
      <c r="D31" s="6"/>
      <c r="E31" s="6"/>
      <c r="F31" s="6"/>
      <c r="G31" s="6"/>
      <c r="H31" s="6" t="s">
        <v>33</v>
      </c>
      <c r="I31" s="6"/>
      <c r="J31" s="6"/>
      <c r="K31" s="6"/>
      <c r="L31" s="6"/>
      <c r="M31" s="6"/>
      <c r="N31" s="6"/>
      <c r="O31" s="6"/>
      <c r="P31" s="6"/>
      <c r="Q31" s="6"/>
      <c r="R31" s="6"/>
      <c r="S31" s="6"/>
      <c r="T31" s="6"/>
      <c r="U31" s="6"/>
      <c r="V31" s="6"/>
      <c r="W31" s="6"/>
      <c r="X31" s="6"/>
      <c r="Y31" s="6"/>
      <c r="Z31" s="6"/>
    </row>
    <row r="32" customFormat="false" ht="15" hidden="false" customHeight="true" outlineLevel="0" collapsed="false">
      <c r="A32" s="39" t="s">
        <v>86</v>
      </c>
      <c r="B32" s="19" t="n">
        <f aca="false">COUNTIF(C32:XFD32,"P")+COUNTIF(C32:XFD32,"F")</f>
        <v>5</v>
      </c>
      <c r="C32" s="6"/>
      <c r="D32" s="6"/>
      <c r="E32" s="6" t="s">
        <v>33</v>
      </c>
      <c r="F32" s="6" t="s">
        <v>33</v>
      </c>
      <c r="G32" s="6"/>
      <c r="H32" s="6"/>
      <c r="I32" s="6"/>
      <c r="J32" s="6"/>
      <c r="K32" s="6"/>
      <c r="L32" s="6"/>
      <c r="M32" s="6" t="s">
        <v>33</v>
      </c>
      <c r="N32" s="6"/>
      <c r="O32" s="6"/>
      <c r="P32" s="6"/>
      <c r="Q32" s="6"/>
      <c r="R32" s="6" t="s">
        <v>33</v>
      </c>
      <c r="S32" s="6"/>
      <c r="T32" s="6"/>
      <c r="U32" s="6" t="s">
        <v>33</v>
      </c>
      <c r="V32" s="6"/>
      <c r="W32" s="6"/>
      <c r="X32" s="6"/>
      <c r="Y32" s="6"/>
      <c r="Z32" s="6"/>
    </row>
    <row r="33" customFormat="false" ht="15" hidden="false" customHeight="true" outlineLevel="0" collapsed="false">
      <c r="A33" s="39" t="s">
        <v>84</v>
      </c>
      <c r="B33" s="19" t="n">
        <f aca="false">COUNTIF(C33:XFD33,"P")+COUNTIF(C33:XFD33,"F")</f>
        <v>5</v>
      </c>
      <c r="C33" s="6"/>
      <c r="D33" s="6"/>
      <c r="E33" s="6"/>
      <c r="F33" s="6"/>
      <c r="G33" s="6"/>
      <c r="H33" s="6"/>
      <c r="I33" s="6"/>
      <c r="J33" s="6" t="s">
        <v>33</v>
      </c>
      <c r="K33" s="6"/>
      <c r="L33" s="6"/>
      <c r="M33" s="6" t="s">
        <v>33</v>
      </c>
      <c r="N33" s="6" t="s">
        <v>33</v>
      </c>
      <c r="O33" s="6" t="s">
        <v>33</v>
      </c>
      <c r="P33" s="6" t="s">
        <v>33</v>
      </c>
      <c r="Q33" s="6"/>
      <c r="R33" s="6"/>
      <c r="S33" s="6"/>
      <c r="T33" s="6"/>
      <c r="U33" s="6"/>
      <c r="V33" s="6"/>
      <c r="W33" s="6"/>
      <c r="X33" s="6"/>
      <c r="Y33" s="6"/>
      <c r="Z33" s="6"/>
    </row>
    <row r="34" customFormat="false" ht="15" hidden="false" customHeight="true" outlineLevel="0" collapsed="false">
      <c r="A34" s="39" t="s">
        <v>108</v>
      </c>
      <c r="B34" s="19" t="n">
        <f aca="false">COUNTIF(C34:XFD34,"P")+COUNTIF(C34:XFD34,"F")</f>
        <v>1</v>
      </c>
      <c r="C34" s="6"/>
      <c r="D34" s="6"/>
      <c r="E34" s="6"/>
      <c r="F34" s="6"/>
      <c r="G34" s="6"/>
      <c r="H34" s="6" t="s">
        <v>33</v>
      </c>
      <c r="I34" s="6"/>
      <c r="J34" s="6"/>
      <c r="K34" s="6"/>
      <c r="L34" s="6"/>
      <c r="M34" s="6"/>
      <c r="N34" s="6"/>
      <c r="O34" s="6"/>
      <c r="P34" s="6"/>
      <c r="Q34" s="6"/>
      <c r="R34" s="6"/>
      <c r="S34" s="6"/>
      <c r="T34" s="6"/>
      <c r="U34" s="6"/>
      <c r="V34" s="6"/>
      <c r="W34" s="6"/>
      <c r="X34" s="6"/>
      <c r="Y34" s="6"/>
      <c r="Z34" s="6"/>
    </row>
    <row r="35" customFormat="false" ht="15" hidden="false" customHeight="true" outlineLevel="0" collapsed="false">
      <c r="A35" s="39" t="s">
        <v>109</v>
      </c>
      <c r="B35" s="19" t="n">
        <f aca="false">COUNTIF(C35:XFD35,"P")+COUNTIF(C35:XFD35,"F")</f>
        <v>2</v>
      </c>
      <c r="C35" s="6"/>
      <c r="D35" s="6"/>
      <c r="E35" s="6" t="s">
        <v>33</v>
      </c>
      <c r="F35" s="6"/>
      <c r="G35" s="6"/>
      <c r="H35" s="6" t="s">
        <v>33</v>
      </c>
      <c r="I35" s="6"/>
      <c r="J35" s="6"/>
      <c r="K35" s="6"/>
      <c r="L35" s="6"/>
      <c r="M35" s="6"/>
      <c r="N35" s="6"/>
      <c r="O35" s="6"/>
      <c r="P35" s="6"/>
      <c r="Q35" s="6"/>
      <c r="R35" s="6"/>
      <c r="S35" s="6"/>
      <c r="T35" s="6"/>
      <c r="U35" s="6"/>
      <c r="V35" s="6"/>
      <c r="W35" s="6"/>
      <c r="X35" s="6"/>
      <c r="Y35" s="6"/>
      <c r="Z35" s="6"/>
    </row>
    <row r="36" customFormat="false" ht="15" hidden="false" customHeight="true" outlineLevel="0" collapsed="false">
      <c r="A36" s="39" t="s">
        <v>106</v>
      </c>
      <c r="B36" s="19" t="n">
        <f aca="false">COUNTIF(C36:XFD36,"P")+COUNTIF(C36:XFD36,"F")</f>
        <v>1</v>
      </c>
      <c r="C36" s="6"/>
      <c r="D36" s="6" t="s">
        <v>33</v>
      </c>
      <c r="E36" s="6"/>
      <c r="F36" s="6"/>
      <c r="G36" s="6"/>
      <c r="H36" s="6"/>
      <c r="I36" s="6"/>
      <c r="J36" s="6"/>
      <c r="K36" s="6"/>
      <c r="L36" s="6"/>
      <c r="M36" s="6"/>
      <c r="N36" s="6"/>
      <c r="O36" s="6"/>
      <c r="P36" s="6"/>
      <c r="Q36" s="6"/>
      <c r="R36" s="6"/>
      <c r="S36" s="6"/>
      <c r="T36" s="6"/>
      <c r="U36" s="6"/>
      <c r="V36" s="6"/>
      <c r="W36" s="6"/>
      <c r="X36" s="6"/>
      <c r="Y36" s="6"/>
      <c r="Z36" s="6"/>
    </row>
    <row r="37" customFormat="false" ht="15" hidden="false" customHeight="true" outlineLevel="0" collapsed="false">
      <c r="A37" s="39" t="s">
        <v>98</v>
      </c>
      <c r="B37" s="19" t="n">
        <f aca="false">COUNTIF(C37:XFD37,"P")+COUNTIF(C37:XFD37,"F")</f>
        <v>1</v>
      </c>
      <c r="C37" s="6"/>
      <c r="D37" s="6"/>
      <c r="E37" s="6"/>
      <c r="F37" s="6"/>
      <c r="G37" s="6"/>
      <c r="H37" s="6"/>
      <c r="I37" s="6"/>
      <c r="J37" s="6"/>
      <c r="K37" s="6"/>
      <c r="L37" s="6" t="s">
        <v>33</v>
      </c>
      <c r="M37" s="6"/>
      <c r="N37" s="6"/>
      <c r="O37" s="6"/>
      <c r="P37" s="6"/>
      <c r="Q37" s="6"/>
      <c r="R37" s="6"/>
      <c r="S37" s="6"/>
      <c r="T37" s="6"/>
      <c r="U37" s="6"/>
      <c r="V37" s="6"/>
      <c r="W37" s="6"/>
      <c r="X37" s="6"/>
      <c r="Y37" s="6"/>
      <c r="Z37" s="6"/>
    </row>
  </sheetData>
  <mergeCells count="1">
    <mergeCell ref="A1:AA1"/>
  </mergeCells>
  <conditionalFormatting sqref="C4:Z37">
    <cfRule type="cellIs" priority="2" operator="equal" aboveAverage="0" equalAverage="0" bottom="0" percent="0" rank="0" text="" dxfId="4">
      <formula>"F"</formula>
    </cfRule>
    <cfRule type="cellIs" priority="3" operator="equal" aboveAverage="0" equalAverage="0" bottom="0" percent="0" rank="0" text="" dxfId="0">
      <formula>"P"</formula>
    </cfRule>
  </conditionalFormatting>
  <dataValidations count="1">
    <dataValidation allowBlank="true" errorStyle="stop" operator="between" showDropDown="false" showErrorMessage="false" showInputMessage="false" sqref="C4:Z37" type="list">
      <formula1>"F,P"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180</v>
      </c>
    </row>
    <row r="3" customFormat="false" ht="15.75" hidden="false" customHeight="true" outlineLevel="0" collapsed="false">
      <c r="A3" s="1" t="s">
        <v>181</v>
      </c>
    </row>
    <row r="5" customFormat="false" ht="15.75" hidden="false" customHeight="true" outlineLevel="0" collapsed="false">
      <c r="A5" s="1" t="s">
        <v>182</v>
      </c>
    </row>
    <row r="7" customFormat="false" ht="15.75" hidden="false" customHeight="true" outlineLevel="0" collapsed="false">
      <c r="A7" s="1" t="s">
        <v>114</v>
      </c>
      <c r="B7" s="1" t="s">
        <v>183</v>
      </c>
      <c r="C7" s="1" t="s">
        <v>184</v>
      </c>
      <c r="D7" s="1" t="s">
        <v>74</v>
      </c>
      <c r="E7" s="1" t="s">
        <v>185</v>
      </c>
      <c r="F7" s="1" t="s">
        <v>186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187</v>
      </c>
    </row>
    <row r="3" customFormat="false" ht="15.75" hidden="false" customHeight="true" outlineLevel="0" collapsed="false">
      <c r="A3" s="1" t="s">
        <v>188</v>
      </c>
    </row>
    <row r="5" customFormat="false" ht="15.75" hidden="false" customHeight="true" outlineLevel="0" collapsed="false">
      <c r="A5" s="1" t="s">
        <v>189</v>
      </c>
      <c r="B5" s="1" t="s">
        <v>190</v>
      </c>
      <c r="C5" s="1" t="s">
        <v>191</v>
      </c>
      <c r="D5" s="1" t="s">
        <v>192</v>
      </c>
      <c r="E5" s="1" t="s">
        <v>193</v>
      </c>
      <c r="F5" s="1" t="s">
        <v>194</v>
      </c>
      <c r="G5" s="1" t="s">
        <v>195</v>
      </c>
    </row>
    <row r="6" customFormat="false" ht="15.75" hidden="false" customHeight="true" outlineLevel="0" collapsed="false">
      <c r="A6" s="1" t="s">
        <v>196</v>
      </c>
      <c r="B6" s="1" t="n">
        <f aca="false">COUNTIF('Saisie 2026-02'!W4:W29,"Atteint")+COUNTIF('Saisie 2026-02'!W4:W29,"Sous objectif")</f>
        <v>24</v>
      </c>
      <c r="C6" s="1" t="n">
        <f aca="false">SUM('Saisie 2026-02'!V4:V29)</f>
        <v>73</v>
      </c>
      <c r="D6" s="1" t="n">
        <f aca="false">IFERROR(COUNTIF('Saisie 2026-02'!W4:W29,"Atteint")/(COUNTIF('Saisie 2026-02'!W4:W29,"Atteint")+COUNTIF('Saisie 2026-02'!W4:W29,"Sous objectif")),0)</f>
        <v>0.625</v>
      </c>
      <c r="E6" s="1" t="n">
        <f aca="false">IFERROR(SUM('Saisie 2026-02'!V4:V29)/(COUNTIF('Saisie 2026-02'!W4:W29,"Atteint")+COUNTIF('Saisie 2026-02'!W4:W29,"Sous objectif")),0)</f>
        <v>3.04166666666667</v>
      </c>
      <c r="F6" s="1" t="n">
        <f aca="false">COUNTIF('Saisie 2026-02'!V4:V29,"&gt;=1")</f>
        <v>20</v>
      </c>
      <c r="G6" s="1" t="s">
        <v>197</v>
      </c>
    </row>
    <row r="7" customFormat="false" ht="15.75" hidden="false" customHeight="true" outlineLevel="0" collapsed="false">
      <c r="A7" s="1" t="s">
        <v>198</v>
      </c>
      <c r="B7" s="1" t="n">
        <f aca="false">COUNTIF('Saisie 2026-03'!Y4:Y29,"Atteint")+COUNTIF('Saisie 2026-03'!Y4:Y29,"Sous objectif")</f>
        <v>25</v>
      </c>
      <c r="C7" s="1" t="n">
        <f aca="false">SUM('Saisie 2026-03'!X4:X29)</f>
        <v>72</v>
      </c>
      <c r="D7" s="1" t="n">
        <f aca="false">IFERROR(COUNTIF('Saisie 2026-03'!Y4:Y29,"Atteint")/(COUNTIF('Saisie 2026-03'!Y4:Y29,"Atteint")+COUNTIF('Saisie 2026-03'!Y4:Y29,"Sous objectif")),0)</f>
        <v>0.6</v>
      </c>
      <c r="E7" s="1" t="n">
        <f aca="false">IFERROR(SUM('Saisie 2026-03'!X4:X29)/(COUNTIF('Saisie 2026-03'!Y4:Y29,"Atteint")+COUNTIF('Saisie 2026-03'!Y4:Y29,"Sous objectif")),0)</f>
        <v>2.88</v>
      </c>
      <c r="F7" s="1" t="n">
        <f aca="false">COUNTIF('Saisie 2026-03'!X4:X29,"&gt;=1")</f>
        <v>23</v>
      </c>
      <c r="G7" s="1" t="s">
        <v>197</v>
      </c>
    </row>
    <row r="8" customFormat="false" ht="15.75" hidden="false" customHeight="true" outlineLevel="0" collapsed="false">
      <c r="A8" s="1" t="s">
        <v>199</v>
      </c>
      <c r="B8" s="1" t="n">
        <f aca="false">COUNTIF('Saisie 2026-04'!Y4:Y29,"Atteint")+COUNTIF('Saisie 2026-04'!Y4:Y29,"Sous objectif")</f>
        <v>26</v>
      </c>
      <c r="C8" s="1" t="n">
        <f aca="false">SUM('Saisie 2026-04'!X4:X29)</f>
        <v>82</v>
      </c>
      <c r="D8" s="1" t="n">
        <f aca="false">IFERROR(COUNTIF('Saisie 2026-04'!Y4:Y29,"Atteint")/(COUNTIF('Saisie 2026-04'!Y4:Y29,"Atteint")+COUNTIF('Saisie 2026-04'!Y4:Y29,"Sous objectif")),0)</f>
        <v>0.846153846153846</v>
      </c>
      <c r="E8" s="1" t="n">
        <f aca="false">IFERROR(SUM('Saisie 2026-04'!X4:X29)/(COUNTIF('Saisie 2026-04'!Y4:Y29,"Atteint")+COUNTIF('Saisie 2026-04'!Y4:Y29,"Sous objectif")),0)</f>
        <v>3.15384615384615</v>
      </c>
      <c r="F8" s="1" t="n">
        <f aca="false">COUNTIF('Saisie 2026-04'!X4:X29,"&gt;=1")</f>
        <v>26</v>
      </c>
      <c r="G8" s="1" t="s">
        <v>197</v>
      </c>
    </row>
    <row r="9" customFormat="false" ht="15.75" hidden="false" customHeight="true" outlineLevel="0" collapsed="false">
      <c r="A9" s="1" t="s">
        <v>200</v>
      </c>
      <c r="B9" s="1" t="n">
        <f aca="false">COUNTIF('Saisie 2026-05'!U4:U29,"Atteint")+COUNTIF('Saisie 2026-05'!U4:U29,"Sous objectif")</f>
        <v>26</v>
      </c>
      <c r="C9" s="1" t="n">
        <f aca="false">SUM('Saisie 2026-05'!T4:T29)</f>
        <v>81</v>
      </c>
      <c r="D9" s="1" t="n">
        <f aca="false">IFERROR(COUNTIF('Saisie 2026-05'!U4:U29,"Atteint")/(COUNTIF('Saisie 2026-05'!U4:U29,"Atteint")+COUNTIF('Saisie 2026-05'!U4:U29,"Sous objectif")),0)</f>
        <v>0.538461538461538</v>
      </c>
      <c r="E9" s="1" t="n">
        <f aca="false">IFERROR(SUM('Saisie 2026-05'!T4:T29)/(COUNTIF('Saisie 2026-05'!U4:U29,"Atteint")+COUNTIF('Saisie 2026-05'!U4:U29,"Sous objectif")),0)</f>
        <v>3.11538461538462</v>
      </c>
      <c r="F9" s="1" t="n">
        <f aca="false">COUNTIF('Saisie 2026-05'!T4:T29,"&gt;=1")</f>
        <v>24</v>
      </c>
      <c r="G9" s="1" t="s">
        <v>197</v>
      </c>
    </row>
    <row r="10" customFormat="false" ht="15.75" hidden="false" customHeight="true" outlineLevel="0" collapsed="false">
      <c r="A10" s="1" t="s">
        <v>201</v>
      </c>
      <c r="B10" s="1" t="n">
        <f aca="false">COUNTIF('Saisie 2026-06'!Y4:Y30,"Atteint")+COUNTIF('Saisie 2026-06'!Y4:Y30,"Sous objectif")</f>
        <v>27</v>
      </c>
      <c r="C10" s="1" t="n">
        <f aca="false">SUM('Saisie 2026-06'!X4:X30)</f>
        <v>111</v>
      </c>
      <c r="D10" s="1" t="n">
        <f aca="false">IFERROR(COUNTIF('Saisie 2026-06'!Y4:Y30,"Atteint")/(COUNTIF('Saisie 2026-06'!Y4:Y30,"Atteint")+COUNTIF('Saisie 2026-06'!Y4:Y30,"Sous objectif")),0)</f>
        <v>0.777777777777778</v>
      </c>
      <c r="E10" s="1" t="n">
        <f aca="false">IFERROR(SUM('Saisie 2026-06'!X4:X30)/(COUNTIF('Saisie 2026-06'!Y4:Y30,"Atteint")+COUNTIF('Saisie 2026-06'!Y4:Y30,"Sous objectif")),0)</f>
        <v>4.11111111111111</v>
      </c>
      <c r="F10" s="1" t="n">
        <f aca="false">COUNTIF('Saisie 2026-06'!X4:X30,"&gt;=1")</f>
        <v>25</v>
      </c>
      <c r="G10" s="1" t="s">
        <v>197</v>
      </c>
    </row>
    <row r="11" customFormat="false" ht="15.75" hidden="false" customHeight="true" outlineLevel="0" collapsed="false">
      <c r="A11" s="1" t="s">
        <v>202</v>
      </c>
      <c r="B11" s="1" t="n">
        <f aca="false">AVERAGE(B8:B10)</f>
        <v>26.3333333333333</v>
      </c>
      <c r="C11" s="1" t="n">
        <f aca="false">AVERAGE(C8:C10)</f>
        <v>91.3333333333333</v>
      </c>
      <c r="D11" s="1" t="n">
        <f aca="false">AVERAGE(D8:D10)</f>
        <v>0.720797720797721</v>
      </c>
      <c r="E11" s="1" t="n">
        <f aca="false">AVERAGE(E8:E10)</f>
        <v>3.46011396011396</v>
      </c>
      <c r="F11" s="1" t="n">
        <f aca="false">AVERAGE(F8:F10)</f>
        <v>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203</v>
      </c>
    </row>
    <row r="3" customFormat="false" ht="15.75" hidden="false" customHeight="true" outlineLevel="0" collapsed="false">
      <c r="A3" s="1" t="s">
        <v>204</v>
      </c>
    </row>
    <row r="5" customFormat="false" ht="15.75" hidden="false" customHeight="true" outlineLevel="0" collapsed="false">
      <c r="A5" s="1" t="s">
        <v>74</v>
      </c>
      <c r="B5" s="1" t="s">
        <v>205</v>
      </c>
      <c r="C5" s="1" t="s">
        <v>198</v>
      </c>
      <c r="D5" s="1" t="s">
        <v>206</v>
      </c>
      <c r="E5" s="1" t="s">
        <v>200</v>
      </c>
      <c r="F5" s="1" t="s">
        <v>201</v>
      </c>
      <c r="G5" s="1" t="s">
        <v>207</v>
      </c>
      <c r="H5" s="1" t="s">
        <v>208</v>
      </c>
    </row>
    <row r="6" customFormat="false" ht="15.75" hidden="false" customHeight="true" outlineLevel="0" collapsed="false">
      <c r="A6" s="1" t="s">
        <v>88</v>
      </c>
      <c r="B6" s="1" t="n">
        <f aca="false">IF('Saisie 2026-02'!W4="N/A absence longue","M",'Saisie 2026-02'!V4)</f>
        <v>3</v>
      </c>
      <c r="C6" s="1" t="n">
        <f aca="false">IF('Saisie 2026-03'!Y4="N/A absence longue","M",'Saisie 2026-03'!X4)</f>
        <v>3</v>
      </c>
      <c r="D6" s="1" t="n">
        <f aca="false">IF('Saisie 2026-04'!Y4="N/A absence longue","M",'Saisie 2026-04'!X4)</f>
        <v>2</v>
      </c>
      <c r="E6" s="1" t="n">
        <f aca="false">IF('Saisie 2026-05'!U4="N/A absence longue","M",'Saisie 2026-05'!T4)</f>
        <v>3</v>
      </c>
      <c r="F6" s="1" t="n">
        <f aca="false">IF('Saisie 2026-06'!Y4="N/A absence longue","M",'Saisie 2026-06'!X4)</f>
        <v>2</v>
      </c>
      <c r="G6" s="1" t="n">
        <f aca="false">COUNTIF(B6:F6,"&gt;=2")</f>
        <v>5</v>
      </c>
      <c r="H6" s="1" t="str">
        <f aca="false">IF(G6=5,"5/5 ✓",IF(G6=0,"0/5 ⚠⚠",IF(G6&lt;=1,G6&amp;"/5 ⚠",G6&amp;"/5")))</f>
        <v>5/5 ✓</v>
      </c>
    </row>
    <row r="7" customFormat="false" ht="15.75" hidden="false" customHeight="true" outlineLevel="0" collapsed="false">
      <c r="A7" s="1" t="s">
        <v>103</v>
      </c>
      <c r="B7" s="1" t="str">
        <f aca="false">IF('Saisie 2026-02'!W5="N/A absence longue","M",'Saisie 2026-02'!V5)</f>
        <v>M</v>
      </c>
      <c r="C7" s="1" t="str">
        <f aca="false">IF('Saisie 2026-03'!Y5="N/A absence longue","M",'Saisie 2026-03'!X5)</f>
        <v>M</v>
      </c>
      <c r="D7" s="1" t="n">
        <f aca="false">IF('Saisie 2026-04'!Y5="N/A absence longue","M",'Saisie 2026-04'!X5)</f>
        <v>11</v>
      </c>
      <c r="E7" s="1" t="n">
        <f aca="false">IF('Saisie 2026-05'!U5="N/A absence longue","M",'Saisie 2026-05'!T5)</f>
        <v>8</v>
      </c>
      <c r="F7" s="1" t="n">
        <f aca="false">IF('Saisie 2026-06'!Y5="N/A absence longue","M",'Saisie 2026-06'!X5)</f>
        <v>9</v>
      </c>
      <c r="G7" s="1" t="n">
        <f aca="false">COUNTIF(B7:F7,"&gt;=2")</f>
        <v>3</v>
      </c>
      <c r="H7" s="1" t="str">
        <f aca="false">IF(G7=5,"5/5 ✓",IF(G7=0,"0/5 ⚠⚠",IF(G7&lt;=1,G7&amp;"/5 ⚠",G7&amp;"/5")))</f>
        <v>3/5</v>
      </c>
    </row>
    <row r="8" customFormat="false" ht="15.75" hidden="false" customHeight="true" outlineLevel="0" collapsed="false">
      <c r="A8" s="1" t="s">
        <v>85</v>
      </c>
      <c r="B8" s="1" t="n">
        <f aca="false">IF('Saisie 2026-02'!W6="N/A absence longue","M",'Saisie 2026-02'!V6)</f>
        <v>1</v>
      </c>
      <c r="C8" s="1" t="n">
        <f aca="false">IF('Saisie 2026-03'!Y6="N/A absence longue","M",'Saisie 2026-03'!X6)</f>
        <v>0</v>
      </c>
      <c r="D8" s="1" t="n">
        <f aca="false">IF('Saisie 2026-04'!Y6="N/A absence longue","M",'Saisie 2026-04'!X6)</f>
        <v>1</v>
      </c>
      <c r="E8" s="1" t="n">
        <f aca="false">IF('Saisie 2026-05'!U6="N/A absence longue","M",'Saisie 2026-05'!T6)</f>
        <v>1</v>
      </c>
      <c r="F8" s="1" t="n">
        <f aca="false">IF('Saisie 2026-06'!Y6="N/A absence longue","M",'Saisie 2026-06'!X6)</f>
        <v>1</v>
      </c>
      <c r="G8" s="1" t="n">
        <f aca="false">COUNTIF(B8:F8,"&gt;=2")</f>
        <v>0</v>
      </c>
      <c r="H8" s="1" t="str">
        <f aca="false">IF(G8=5,"5/5 ✓",IF(G8=0,"0/5 ⚠⚠",IF(G8&lt;=1,G8&amp;"/5 ⚠",G8&amp;"/5")))</f>
        <v>0/5 ⚠⚠</v>
      </c>
    </row>
    <row r="9" customFormat="false" ht="15.75" hidden="false" customHeight="true" outlineLevel="0" collapsed="false">
      <c r="A9" s="1" t="s">
        <v>95</v>
      </c>
      <c r="B9" s="1" t="n">
        <f aca="false">IF('Saisie 2026-02'!W7="N/A absence longue","M",'Saisie 2026-02'!V7)</f>
        <v>5</v>
      </c>
      <c r="C9" s="1" t="n">
        <f aca="false">IF('Saisie 2026-03'!Y7="N/A absence longue","M",'Saisie 2026-03'!X7)</f>
        <v>6</v>
      </c>
      <c r="D9" s="1" t="n">
        <f aca="false">IF('Saisie 2026-04'!Y7="N/A absence longue","M",'Saisie 2026-04'!X7)</f>
        <v>4</v>
      </c>
      <c r="E9" s="1" t="n">
        <f aca="false">IF('Saisie 2026-05'!U7="N/A absence longue","M",'Saisie 2026-05'!T7)</f>
        <v>5</v>
      </c>
      <c r="F9" s="1" t="n">
        <f aca="false">IF('Saisie 2026-06'!Y7="N/A absence longue","M",'Saisie 2026-06'!X7)</f>
        <v>7</v>
      </c>
      <c r="G9" s="1" t="n">
        <f aca="false">COUNTIF(B9:F9,"&gt;=2")</f>
        <v>5</v>
      </c>
      <c r="H9" s="1" t="str">
        <f aca="false">IF(G9=5,"5/5 ✓",IF(G9=0,"0/5 ⚠⚠",IF(G9&lt;=1,G9&amp;"/5 ⚠",G9&amp;"/5")))</f>
        <v>5/5 ✓</v>
      </c>
    </row>
    <row r="10" customFormat="false" ht="15.75" hidden="false" customHeight="true" outlineLevel="0" collapsed="false">
      <c r="A10" s="1" t="s">
        <v>94</v>
      </c>
      <c r="B10" s="1" t="n">
        <f aca="false">IF('Saisie 2026-02'!W8="N/A absence longue","M",'Saisie 2026-02'!V8)</f>
        <v>11</v>
      </c>
      <c r="C10" s="1" t="n">
        <f aca="false">IF('Saisie 2026-03'!Y8="N/A absence longue","M",'Saisie 2026-03'!X8)</f>
        <v>12</v>
      </c>
      <c r="D10" s="1" t="n">
        <f aca="false">IF('Saisie 2026-04'!Y8="N/A absence longue","M",'Saisie 2026-04'!X8)</f>
        <v>12</v>
      </c>
      <c r="E10" s="1" t="n">
        <f aca="false">IF('Saisie 2026-05'!U8="N/A absence longue","M",'Saisie 2026-05'!T8)</f>
        <v>11</v>
      </c>
      <c r="F10" s="1" t="n">
        <f aca="false">IF('Saisie 2026-06'!Y9="N/A absence longue","M",'Saisie 2026-06'!X9)</f>
        <v>2</v>
      </c>
      <c r="G10" s="1" t="n">
        <f aca="false">COUNTIF(B10:F10,"&gt;=2")</f>
        <v>5</v>
      </c>
      <c r="H10" s="1" t="str">
        <f aca="false">IF(G10=5,"5/5 ✓",IF(G10=0,"0/5 ⚠⚠",IF(G10&lt;=1,G10&amp;"/5 ⚠",G10&amp;"/5")))</f>
        <v>5/5 ✓</v>
      </c>
    </row>
    <row r="11" customFormat="false" ht="15.75" hidden="false" customHeight="true" outlineLevel="0" collapsed="false">
      <c r="A11" s="1" t="s">
        <v>82</v>
      </c>
      <c r="B11" s="1" t="n">
        <f aca="false">IF('Saisie 2026-02'!W9="N/A absence longue","M",'Saisie 2026-02'!V9)</f>
        <v>1</v>
      </c>
      <c r="C11" s="1" t="n">
        <f aca="false">IF('Saisie 2026-03'!Y9="N/A absence longue","M",'Saisie 2026-03'!X9)</f>
        <v>1</v>
      </c>
      <c r="D11" s="1" t="n">
        <f aca="false">IF('Saisie 2026-04'!Y9="N/A absence longue","M",'Saisie 2026-04'!X9)</f>
        <v>2</v>
      </c>
      <c r="E11" s="1" t="n">
        <f aca="false">IF('Saisie 2026-05'!U9="N/A absence longue","M",'Saisie 2026-05'!T9)</f>
        <v>10</v>
      </c>
      <c r="F11" s="1" t="n">
        <f aca="false">IF('Saisie 2026-06'!Y10="N/A absence longue","M",'Saisie 2026-06'!X10)</f>
        <v>3</v>
      </c>
      <c r="G11" s="1" t="n">
        <f aca="false">COUNTIF(B11:F11,"&gt;=2")</f>
        <v>3</v>
      </c>
      <c r="H11" s="1" t="str">
        <f aca="false">IF(G11=5,"5/5 ✓",IF(G11=0,"0/5 ⚠⚠",IF(G11&lt;=1,G11&amp;"/5 ⚠",G11&amp;"/5")))</f>
        <v>3/5</v>
      </c>
    </row>
    <row r="12" customFormat="false" ht="15.75" hidden="false" customHeight="true" outlineLevel="0" collapsed="false">
      <c r="A12" s="1" t="s">
        <v>93</v>
      </c>
      <c r="B12" s="1" t="n">
        <f aca="false">IF('Saisie 2026-02'!W10="N/A absence longue","M",'Saisie 2026-02'!V10)</f>
        <v>8</v>
      </c>
      <c r="C12" s="1" t="n">
        <f aca="false">IF('Saisie 2026-03'!Y10="N/A absence longue","M",'Saisie 2026-03'!X10)</f>
        <v>7</v>
      </c>
      <c r="D12" s="1" t="n">
        <f aca="false">IF('Saisie 2026-04'!Y10="N/A absence longue","M",'Saisie 2026-04'!X10)</f>
        <v>6</v>
      </c>
      <c r="E12" s="1" t="n">
        <f aca="false">IF('Saisie 2026-05'!U10="N/A absence longue","M",'Saisie 2026-05'!T10)</f>
        <v>6</v>
      </c>
      <c r="F12" s="1" t="n">
        <f aca="false">IF('Saisie 2026-06'!Y11="N/A absence longue","M",'Saisie 2026-06'!X11)</f>
        <v>8</v>
      </c>
      <c r="G12" s="1" t="n">
        <f aca="false">COUNTIF(B12:F12,"&gt;=2")</f>
        <v>5</v>
      </c>
      <c r="H12" s="1" t="str">
        <f aca="false">IF(G12=5,"5/5 ✓",IF(G12=0,"0/5 ⚠⚠",IF(G12&lt;=1,G12&amp;"/5 ⚠",G12&amp;"/5")))</f>
        <v>5/5 ✓</v>
      </c>
    </row>
    <row r="13" customFormat="false" ht="15.75" hidden="false" customHeight="true" outlineLevel="0" collapsed="false">
      <c r="A13" s="1" t="s">
        <v>81</v>
      </c>
      <c r="B13" s="1" t="n">
        <f aca="false">IF('Saisie 2026-02'!W11="N/A absence longue","M",'Saisie 2026-02'!V11)</f>
        <v>0</v>
      </c>
      <c r="C13" s="1" t="n">
        <f aca="false">IF('Saisie 2026-03'!Y11="N/A absence longue","M",'Saisie 2026-03'!X11)</f>
        <v>2</v>
      </c>
      <c r="D13" s="1" t="n">
        <f aca="false">IF('Saisie 2026-04'!Y11="N/A absence longue","M",'Saisie 2026-04'!X11)</f>
        <v>2</v>
      </c>
      <c r="E13" s="1" t="n">
        <f aca="false">IF('Saisie 2026-05'!U11="N/A absence longue","M",'Saisie 2026-05'!T11)</f>
        <v>1</v>
      </c>
      <c r="F13" s="1" t="n">
        <f aca="false">IF('Saisie 2026-06'!Y12="N/A absence longue","M",'Saisie 2026-06'!X12)</f>
        <v>2</v>
      </c>
      <c r="G13" s="1" t="n">
        <f aca="false">COUNTIF(B13:F13,"&gt;=2")</f>
        <v>3</v>
      </c>
      <c r="H13" s="1" t="str">
        <f aca="false">IF(G13=5,"5/5 ✓",IF(G13=0,"0/5 ⚠⚠",IF(G13&lt;=1,G13&amp;"/5 ⚠",G13&amp;"/5")))</f>
        <v>3/5</v>
      </c>
    </row>
    <row r="14" customFormat="false" ht="15.75" hidden="false" customHeight="true" outlineLevel="0" collapsed="false">
      <c r="A14" s="1" t="s">
        <v>78</v>
      </c>
      <c r="B14" s="1" t="n">
        <f aca="false">IF('Saisie 2026-02'!W12="N/A absence longue","M",'Saisie 2026-02'!V12)</f>
        <v>4</v>
      </c>
      <c r="C14" s="1" t="n">
        <f aca="false">IF('Saisie 2026-03'!Y12="N/A absence longue","M",'Saisie 2026-03'!X12)</f>
        <v>1</v>
      </c>
      <c r="D14" s="1" t="n">
        <f aca="false">IF('Saisie 2026-04'!Y12="N/A absence longue","M",'Saisie 2026-04'!X12)</f>
        <v>1</v>
      </c>
      <c r="E14" s="1" t="n">
        <f aca="false">IF('Saisie 2026-05'!U12="N/A absence longue","M",'Saisie 2026-05'!T12)</f>
        <v>1</v>
      </c>
      <c r="F14" s="1" t="n">
        <f aca="false">IF('Saisie 2026-06'!Y13="N/A absence longue","M",'Saisie 2026-06'!X13)</f>
        <v>2</v>
      </c>
      <c r="G14" s="1" t="n">
        <f aca="false">COUNTIF(B14:F14,"&gt;=2")</f>
        <v>2</v>
      </c>
      <c r="H14" s="1" t="str">
        <f aca="false">IF(G14=5,"5/5 ✓",IF(G14=0,"0/5 ⚠⚠",IF(G14&lt;=1,G14&amp;"/5 ⚠",G14&amp;"/5")))</f>
        <v>2/5</v>
      </c>
    </row>
    <row r="15" customFormat="false" ht="15.75" hidden="false" customHeight="true" outlineLevel="0" collapsed="false">
      <c r="A15" s="1" t="s">
        <v>101</v>
      </c>
      <c r="B15" s="1" t="n">
        <f aca="false">IF('Saisie 2026-02'!W13="N/A absence longue","M",'Saisie 2026-02'!V13)</f>
        <v>0</v>
      </c>
      <c r="C15" s="1" t="n">
        <f aca="false">IF('Saisie 2026-03'!Y13="N/A absence longue","M",'Saisie 2026-03'!X13)</f>
        <v>2</v>
      </c>
      <c r="D15" s="1" t="n">
        <f aca="false">IF('Saisie 2026-04'!Y13="N/A absence longue","M",'Saisie 2026-04'!X13)</f>
        <v>1</v>
      </c>
      <c r="E15" s="1" t="n">
        <f aca="false">IF('Saisie 2026-05'!U13="N/A absence longue","M",'Saisie 2026-05'!T13)</f>
        <v>1</v>
      </c>
      <c r="F15" s="1" t="n">
        <f aca="false">IF('Saisie 2026-06'!Y14="N/A absence longue","M",'Saisie 2026-06'!X14)</f>
        <v>2</v>
      </c>
      <c r="G15" s="1" t="n">
        <f aca="false">COUNTIF(B15:F15,"&gt;=2")</f>
        <v>2</v>
      </c>
      <c r="H15" s="1" t="str">
        <f aca="false">IF(G15=5,"5/5 ✓",IF(G15=0,"0/5 ⚠⚠",IF(G15&lt;=1,G15&amp;"/5 ⚠",G15&amp;"/5")))</f>
        <v>2/5</v>
      </c>
    </row>
    <row r="16" customFormat="false" ht="15.75" hidden="false" customHeight="true" outlineLevel="0" collapsed="false">
      <c r="A16" s="1" t="s">
        <v>102</v>
      </c>
      <c r="B16" s="1" t="n">
        <f aca="false">IF('Saisie 2026-02'!W14="N/A absence longue","M",'Saisie 2026-02'!V14)</f>
        <v>3</v>
      </c>
      <c r="C16" s="1" t="n">
        <f aca="false">IF('Saisie 2026-03'!Y14="N/A absence longue","M",'Saisie 2026-03'!X14)</f>
        <v>2</v>
      </c>
      <c r="D16" s="1" t="n">
        <f aca="false">IF('Saisie 2026-04'!Y14="N/A absence longue","M",'Saisie 2026-04'!X14)</f>
        <v>2</v>
      </c>
      <c r="E16" s="1" t="n">
        <f aca="false">IF('Saisie 2026-05'!U14="N/A absence longue","M",'Saisie 2026-05'!T14)</f>
        <v>1</v>
      </c>
      <c r="F16" s="1" t="n">
        <f aca="false">IF('Saisie 2026-06'!Y15="N/A absence longue","M",'Saisie 2026-06'!X15)</f>
        <v>3</v>
      </c>
      <c r="G16" s="1" t="n">
        <f aca="false">COUNTIF(B16:F16,"&gt;=2")</f>
        <v>4</v>
      </c>
      <c r="H16" s="1" t="str">
        <f aca="false">IF(G16=5,"5/5 ✓",IF(G16=0,"0/5 ⚠⚠",IF(G16&lt;=1,G16&amp;"/5 ⚠",G16&amp;"/5")))</f>
        <v>4/5</v>
      </c>
    </row>
    <row r="17" customFormat="false" ht="15.75" hidden="false" customHeight="true" outlineLevel="0" collapsed="false">
      <c r="A17" s="1" t="s">
        <v>86</v>
      </c>
      <c r="B17" s="1" t="n">
        <f aca="false">IF('Saisie 2026-02'!W15="N/A absence longue","M",'Saisie 2026-02'!V15)</f>
        <v>2</v>
      </c>
      <c r="C17" s="1" t="n">
        <f aca="false">IF('Saisie 2026-03'!Y15="N/A absence longue","M",'Saisie 2026-03'!X15)</f>
        <v>5</v>
      </c>
      <c r="D17" s="1" t="n">
        <f aca="false">IF('Saisie 2026-04'!Y15="N/A absence longue","M",'Saisie 2026-04'!X15)</f>
        <v>4</v>
      </c>
      <c r="E17" s="1" t="n">
        <f aca="false">IF('Saisie 2026-05'!U15="N/A absence longue","M",'Saisie 2026-05'!T15)</f>
        <v>3</v>
      </c>
      <c r="F17" s="1" t="n">
        <f aca="false">IF('Saisie 2026-06'!Y16="N/A absence longue","M",'Saisie 2026-06'!X16)</f>
        <v>6</v>
      </c>
      <c r="G17" s="1" t="n">
        <f aca="false">COUNTIF(B17:F17,"&gt;=2")</f>
        <v>5</v>
      </c>
      <c r="H17" s="1" t="str">
        <f aca="false">IF(G17=5,"5/5 ✓",IF(G17=0,"0/5 ⚠⚠",IF(G17&lt;=1,G17&amp;"/5 ⚠",G17&amp;"/5")))</f>
        <v>5/5 ✓</v>
      </c>
    </row>
    <row r="18" customFormat="false" ht="15.75" hidden="false" customHeight="true" outlineLevel="0" collapsed="false">
      <c r="A18" s="1" t="s">
        <v>92</v>
      </c>
      <c r="B18" s="1" t="n">
        <f aca="false">IF('Saisie 2026-02'!W16="N/A absence longue","M",'Saisie 2026-02'!V16)</f>
        <v>3</v>
      </c>
      <c r="C18" s="1" t="n">
        <f aca="false">IF('Saisie 2026-03'!Y16="N/A absence longue","M",'Saisie 2026-03'!X16)</f>
        <v>4</v>
      </c>
      <c r="D18" s="1" t="n">
        <f aca="false">IF('Saisie 2026-04'!Y16="N/A absence longue","M",'Saisie 2026-04'!X16)</f>
        <v>2</v>
      </c>
      <c r="E18" s="1" t="n">
        <f aca="false">IF('Saisie 2026-05'!U16="N/A absence longue","M",'Saisie 2026-05'!T16)</f>
        <v>3</v>
      </c>
      <c r="F18" s="1" t="n">
        <f aca="false">IF('Saisie 2026-06'!Y17="N/A absence longue","M",'Saisie 2026-06'!X17)</f>
        <v>2</v>
      </c>
      <c r="G18" s="1" t="n">
        <f aca="false">COUNTIF(B18:F18,"&gt;=2")</f>
        <v>5</v>
      </c>
      <c r="H18" s="1" t="str">
        <f aca="false">IF(G18=5,"5/5 ✓",IF(G18=0,"0/5 ⚠⚠",IF(G18&lt;=1,G18&amp;"/5 ⚠",G18&amp;"/5")))</f>
        <v>5/5 ✓</v>
      </c>
    </row>
    <row r="19" customFormat="false" ht="15.75" hidden="false" customHeight="true" outlineLevel="0" collapsed="false">
      <c r="A19" s="1" t="s">
        <v>100</v>
      </c>
      <c r="B19" s="1" t="n">
        <f aca="false">IF('Saisie 2026-02'!W17="N/A absence longue","M",'Saisie 2026-02'!V17)</f>
        <v>0</v>
      </c>
      <c r="C19" s="1" t="n">
        <f aca="false">IF('Saisie 2026-03'!Y17="N/A absence longue","M",'Saisie 2026-03'!X17)</f>
        <v>1</v>
      </c>
      <c r="D19" s="1" t="n">
        <f aca="false">IF('Saisie 2026-04'!Y17="N/A absence longue","M",'Saisie 2026-04'!X17)</f>
        <v>3</v>
      </c>
      <c r="E19" s="1" t="n">
        <f aca="false">IF('Saisie 2026-05'!U17="N/A absence longue","M",'Saisie 2026-05'!T17)</f>
        <v>8</v>
      </c>
      <c r="F19" s="1" t="n">
        <f aca="false">IF('Saisie 2026-06'!Y18="N/A absence longue","M",'Saisie 2026-06'!X18)</f>
        <v>13</v>
      </c>
      <c r="G19" s="1" t="n">
        <f aca="false">COUNTIF(B19:F19,"&gt;=2")</f>
        <v>3</v>
      </c>
      <c r="H19" s="1" t="str">
        <f aca="false">IF(G19=5,"5/5 ✓",IF(G19=0,"0/5 ⚠⚠",IF(G19&lt;=1,G19&amp;"/5 ⚠",G19&amp;"/5")))</f>
        <v>3/5</v>
      </c>
    </row>
    <row r="20" customFormat="false" ht="15.75" hidden="false" customHeight="true" outlineLevel="0" collapsed="false">
      <c r="A20" s="1" t="s">
        <v>97</v>
      </c>
      <c r="B20" s="1" t="n">
        <f aca="false">IF('Saisie 2026-02'!W18="N/A absence longue","M",'Saisie 2026-02'!V18)</f>
        <v>3</v>
      </c>
      <c r="C20" s="1" t="n">
        <f aca="false">IF('Saisie 2026-03'!Y18="N/A absence longue","M",'Saisie 2026-03'!X18)</f>
        <v>1</v>
      </c>
      <c r="D20" s="1" t="n">
        <f aca="false">IF('Saisie 2026-04'!Y18="N/A absence longue","M",'Saisie 2026-04'!X18)</f>
        <v>2</v>
      </c>
      <c r="E20" s="1" t="n">
        <f aca="false">IF('Saisie 2026-05'!U18="N/A absence longue","M",'Saisie 2026-05'!T18)</f>
        <v>1</v>
      </c>
      <c r="F20" s="1" t="n">
        <f aca="false">IF('Saisie 2026-06'!Y19="N/A absence longue","M",'Saisie 2026-06'!X19)</f>
        <v>3</v>
      </c>
      <c r="G20" s="1" t="n">
        <f aca="false">COUNTIF(B20:F20,"&gt;=2")</f>
        <v>3</v>
      </c>
      <c r="H20" s="1" t="str">
        <f aca="false">IF(G20=5,"5/5 ✓",IF(G20=0,"0/5 ⚠⚠",IF(G20&lt;=1,G20&amp;"/5 ⚠",G20&amp;"/5")))</f>
        <v>3/5</v>
      </c>
    </row>
    <row r="21" customFormat="false" ht="15.75" hidden="false" customHeight="true" outlineLevel="0" collapsed="false">
      <c r="A21" s="1" t="s">
        <v>89</v>
      </c>
      <c r="B21" s="1" t="n">
        <f aca="false">IF('Saisie 2026-02'!W19="N/A absence longue","M",'Saisie 2026-02'!V19)</f>
        <v>1</v>
      </c>
      <c r="C21" s="1" t="n">
        <f aca="false">IF('Saisie 2026-03'!Y19="N/A absence longue","M",'Saisie 2026-03'!X19)</f>
        <v>1</v>
      </c>
      <c r="D21" s="1" t="n">
        <f aca="false">IF('Saisie 2026-04'!Y19="N/A absence longue","M",'Saisie 2026-04'!X19)</f>
        <v>3</v>
      </c>
      <c r="E21" s="1" t="n">
        <f aca="false">IF('Saisie 2026-05'!U19="N/A absence longue","M",'Saisie 2026-05'!T19)</f>
        <v>2</v>
      </c>
      <c r="F21" s="1" t="n">
        <f aca="false">IF('Saisie 2026-06'!Y20="N/A absence longue","M",'Saisie 2026-06'!X20)</f>
        <v>1</v>
      </c>
      <c r="G21" s="1" t="n">
        <f aca="false">COUNTIF(B21:F21,"&gt;=2")</f>
        <v>2</v>
      </c>
      <c r="H21" s="1" t="str">
        <f aca="false">IF(G21=5,"5/5 ✓",IF(G21=0,"0/5 ⚠⚠",IF(G21&lt;=1,G21&amp;"/5 ⚠",G21&amp;"/5")))</f>
        <v>2/5</v>
      </c>
    </row>
    <row r="22" customFormat="false" ht="15.75" hidden="false" customHeight="true" outlineLevel="0" collapsed="false">
      <c r="A22" s="1" t="s">
        <v>91</v>
      </c>
      <c r="B22" s="1" t="n">
        <f aca="false">IF('Saisie 2026-02'!W20="N/A absence longue","M",'Saisie 2026-02'!V20)</f>
        <v>2</v>
      </c>
      <c r="C22" s="1" t="n">
        <f aca="false">IF('Saisie 2026-03'!Y20="N/A absence longue","M",'Saisie 2026-03'!X20)</f>
        <v>4</v>
      </c>
      <c r="D22" s="1" t="n">
        <f aca="false">IF('Saisie 2026-04'!Y20="N/A absence longue","M",'Saisie 2026-04'!X20)</f>
        <v>3</v>
      </c>
      <c r="E22" s="1" t="n">
        <f aca="false">IF('Saisie 2026-05'!U20="N/A absence longue","M",'Saisie 2026-05'!T20)</f>
        <v>1</v>
      </c>
      <c r="F22" s="1" t="n">
        <f aca="false">IF('Saisie 2026-06'!Y21="N/A absence longue","M",'Saisie 2026-06'!X21)</f>
        <v>4</v>
      </c>
      <c r="G22" s="1" t="n">
        <f aca="false">COUNTIF(B22:F22,"&gt;=2")</f>
        <v>4</v>
      </c>
      <c r="H22" s="1" t="str">
        <f aca="false">IF(G22=5,"5/5 ✓",IF(G22=0,"0/5 ⚠⚠",IF(G22&lt;=1,G22&amp;"/5 ⚠",G22&amp;"/5")))</f>
        <v>4/5</v>
      </c>
    </row>
    <row r="23" customFormat="false" ht="15.75" hidden="false" customHeight="true" outlineLevel="0" collapsed="false">
      <c r="A23" s="1" t="s">
        <v>83</v>
      </c>
      <c r="B23" s="1" t="n">
        <f aca="false">IF('Saisie 2026-02'!W21="N/A absence longue","M",'Saisie 2026-02'!V21)</f>
        <v>2</v>
      </c>
      <c r="C23" s="1" t="n">
        <f aca="false">IF('Saisie 2026-03'!Y21="N/A absence longue","M",'Saisie 2026-03'!X21)</f>
        <v>4</v>
      </c>
      <c r="D23" s="1" t="n">
        <f aca="false">IF('Saisie 2026-04'!Y21="N/A absence longue","M",'Saisie 2026-04'!X21)</f>
        <v>3</v>
      </c>
      <c r="E23" s="1" t="n">
        <f aca="false">IF('Saisie 2026-05'!U21="N/A absence longue","M",'Saisie 2026-05'!T21)</f>
        <v>5</v>
      </c>
      <c r="F23" s="1" t="n">
        <f aca="false">IF('Saisie 2026-06'!Y22="N/A absence longue","M",'Saisie 2026-06'!X22)</f>
        <v>10</v>
      </c>
      <c r="G23" s="1" t="n">
        <f aca="false">COUNTIF(B23:F23,"&gt;=2")</f>
        <v>5</v>
      </c>
      <c r="H23" s="1" t="str">
        <f aca="false">IF(G23=5,"5/5 ✓",IF(G23=0,"0/5 ⚠⚠",IF(G23&lt;=1,G23&amp;"/5 ⚠",G23&amp;"/5")))</f>
        <v>5/5 ✓</v>
      </c>
    </row>
    <row r="24" customFormat="false" ht="15.75" hidden="false" customHeight="true" outlineLevel="0" collapsed="false">
      <c r="A24" s="1" t="s">
        <v>84</v>
      </c>
      <c r="B24" s="1" t="n">
        <f aca="false">IF('Saisie 2026-02'!W22="N/A absence longue","M",'Saisie 2026-02'!V22)</f>
        <v>2</v>
      </c>
      <c r="C24" s="1" t="n">
        <f aca="false">IF('Saisie 2026-03'!Y22="N/A absence longue","M",'Saisie 2026-03'!X22)</f>
        <v>1</v>
      </c>
      <c r="D24" s="1" t="n">
        <f aca="false">IF('Saisie 2026-04'!Y22="N/A absence longue","M",'Saisie 2026-04'!X22)</f>
        <v>2</v>
      </c>
      <c r="E24" s="1" t="n">
        <f aca="false">IF('Saisie 2026-05'!U22="N/A absence longue","M",'Saisie 2026-05'!T22)</f>
        <v>0</v>
      </c>
      <c r="F24" s="1" t="n">
        <f aca="false">IF('Saisie 2026-06'!Y23="N/A absence longue","M",'Saisie 2026-06'!X23)</f>
        <v>1</v>
      </c>
      <c r="G24" s="1" t="n">
        <f aca="false">COUNTIF(B24:F24,"&gt;=2")</f>
        <v>2</v>
      </c>
      <c r="H24" s="1" t="str">
        <f aca="false">IF(G24=5,"5/5 ✓",IF(G24=0,"0/5 ⚠⚠",IF(G24&lt;=1,G24&amp;"/5 ⚠",G24&amp;"/5")))</f>
        <v>2/5</v>
      </c>
    </row>
    <row r="25" customFormat="false" ht="15.75" hidden="false" customHeight="true" outlineLevel="0" collapsed="false">
      <c r="A25" s="1" t="s">
        <v>80</v>
      </c>
      <c r="B25" s="1" t="n">
        <f aca="false">IF('Saisie 2026-02'!W23="N/A absence longue","M",'Saisie 2026-02'!V23)</f>
        <v>1</v>
      </c>
      <c r="C25" s="1" t="n">
        <f aca="false">IF('Saisie 2026-03'!Y23="N/A absence longue","M",'Saisie 2026-03'!X23)</f>
        <v>1</v>
      </c>
      <c r="D25" s="1" t="n">
        <f aca="false">IF('Saisie 2026-04'!Y23="N/A absence longue","M",'Saisie 2026-04'!X23)</f>
        <v>2</v>
      </c>
      <c r="E25" s="1" t="n">
        <f aca="false">IF('Saisie 2026-05'!U23="N/A absence longue","M",'Saisie 2026-05'!T23)</f>
        <v>2</v>
      </c>
      <c r="F25" s="1" t="n">
        <f aca="false">IF('Saisie 2026-06'!Y24="N/A absence longue","M",'Saisie 2026-06'!X24)</f>
        <v>2</v>
      </c>
      <c r="G25" s="1" t="n">
        <f aca="false">COUNTIF(B25:F25,"&gt;=2")</f>
        <v>3</v>
      </c>
      <c r="H25" s="1" t="str">
        <f aca="false">IF(G25=5,"5/5 ✓",IF(G25=0,"0/5 ⚠⚠",IF(G25&lt;=1,G25&amp;"/5 ⚠",G25&amp;"/5")))</f>
        <v>3/5</v>
      </c>
    </row>
    <row r="26" customFormat="false" ht="15.75" hidden="false" customHeight="true" outlineLevel="0" collapsed="false">
      <c r="A26" s="1" t="s">
        <v>87</v>
      </c>
      <c r="B26" s="1" t="n">
        <f aca="false">IF('Saisie 2026-02'!W24="N/A absence longue","M",'Saisie 2026-02'!V24)</f>
        <v>0</v>
      </c>
      <c r="C26" s="1" t="n">
        <f aca="false">IF('Saisie 2026-03'!Y24="N/A absence longue","M",'Saisie 2026-03'!X24)</f>
        <v>4</v>
      </c>
      <c r="D26" s="1" t="n">
        <f aca="false">IF('Saisie 2026-04'!Y24="N/A absence longue","M",'Saisie 2026-04'!X24)</f>
        <v>2</v>
      </c>
      <c r="E26" s="1" t="n">
        <f aca="false">IF('Saisie 2026-05'!U24="N/A absence longue","M",'Saisie 2026-05'!T24)</f>
        <v>1</v>
      </c>
      <c r="F26" s="1" t="n">
        <f aca="false">IF('Saisie 2026-06'!Y25="N/A absence longue","M",'Saisie 2026-06'!X25)</f>
        <v>0</v>
      </c>
      <c r="G26" s="1" t="n">
        <f aca="false">COUNTIF(B26:F26,"&gt;=2")</f>
        <v>2</v>
      </c>
      <c r="H26" s="1" t="str">
        <f aca="false">IF(G26=5,"5/5 ✓",IF(G26=0,"0/5 ⚠⚠",IF(G26&lt;=1,G26&amp;"/5 ⚠",G26&amp;"/5")))</f>
        <v>2/5</v>
      </c>
    </row>
    <row r="27" customFormat="false" ht="15.75" hidden="false" customHeight="true" outlineLevel="0" collapsed="false">
      <c r="A27" s="1" t="s">
        <v>90</v>
      </c>
      <c r="B27" s="1" t="n">
        <f aca="false">IF('Saisie 2026-02'!W25="N/A absence longue","M",'Saisie 2026-02'!V25)</f>
        <v>11</v>
      </c>
      <c r="C27" s="1" t="n">
        <f aca="false">IF('Saisie 2026-03'!Y25="N/A absence longue","M",'Saisie 2026-03'!X25)</f>
        <v>1</v>
      </c>
      <c r="D27" s="1" t="n">
        <f aca="false">IF('Saisie 2026-04'!Y25="N/A absence longue","M",'Saisie 2026-04'!X25)</f>
        <v>2</v>
      </c>
      <c r="E27" s="1" t="n">
        <f aca="false">IF('Saisie 2026-05'!U25="N/A absence longue","M",'Saisie 2026-05'!T25)</f>
        <v>3</v>
      </c>
      <c r="F27" s="1" t="n">
        <f aca="false">IF('Saisie 2026-06'!Y26="N/A absence longue","M",'Saisie 2026-06'!X26)</f>
        <v>1</v>
      </c>
      <c r="G27" s="1" t="n">
        <f aca="false">COUNTIF(B27:F27,"&gt;=2")</f>
        <v>3</v>
      </c>
      <c r="H27" s="1" t="str">
        <f aca="false">IF(G27=5,"5/5 ✓",IF(G27=0,"0/5 ⚠⚠",IF(G27&lt;=1,G27&amp;"/5 ⚠",G27&amp;"/5")))</f>
        <v>3/5</v>
      </c>
    </row>
    <row r="28" customFormat="false" ht="15.75" hidden="false" customHeight="true" outlineLevel="0" collapsed="false">
      <c r="A28" s="1" t="s">
        <v>98</v>
      </c>
      <c r="B28" s="1" t="n">
        <f aca="false">IF('Saisie 2026-02'!W26="N/A absence longue","M",'Saisie 2026-02'!V26)</f>
        <v>1</v>
      </c>
      <c r="C28" s="1" t="n">
        <f aca="false">IF('Saisie 2026-03'!Y26="N/A absence longue","M",'Saisie 2026-03'!X26)</f>
        <v>0</v>
      </c>
      <c r="D28" s="1" t="n">
        <f aca="false">IF('Saisie 2026-04'!Y26="N/A absence longue","M",'Saisie 2026-04'!X26)</f>
        <v>1</v>
      </c>
      <c r="E28" s="1" t="n">
        <f aca="false">IF('Saisie 2026-05'!U26="N/A absence longue","M",'Saisie 2026-05'!T26)</f>
        <v>0</v>
      </c>
      <c r="F28" s="1" t="n">
        <f aca="false">IF('Saisie 2026-06'!Y27="N/A absence longue","M",'Saisie 2026-06'!X27)</f>
        <v>0</v>
      </c>
      <c r="G28" s="1" t="n">
        <f aca="false">COUNTIF(B28:F28,"&gt;=2")</f>
        <v>0</v>
      </c>
      <c r="H28" s="1" t="str">
        <f aca="false">IF(G28=5,"5/5 ✓",IF(G28=0,"0/5 ⚠⚠",IF(G28&lt;=1,G28&amp;"/5 ⚠",G28&amp;"/5")))</f>
        <v>0/5 ⚠⚠</v>
      </c>
    </row>
    <row r="29" customFormat="false" ht="15.75" hidden="false" customHeight="true" outlineLevel="0" collapsed="false">
      <c r="A29" s="1" t="s">
        <v>99</v>
      </c>
      <c r="B29" s="1" t="n">
        <f aca="false">IF('Saisie 2026-02'!W27="N/A absence longue","M",'Saisie 2026-02'!V27)</f>
        <v>5</v>
      </c>
      <c r="C29" s="1" t="n">
        <f aca="false">IF('Saisie 2026-03'!Y27="N/A absence longue","M",'Saisie 2026-03'!X27)</f>
        <v>2</v>
      </c>
      <c r="D29" s="1" t="n">
        <f aca="false">IF('Saisie 2026-04'!Y27="N/A absence longue","M",'Saisie 2026-04'!X27)</f>
        <v>2</v>
      </c>
      <c r="E29" s="1" t="n">
        <f aca="false">IF('Saisie 2026-05'!U27="N/A absence longue","M",'Saisie 2026-05'!T27)</f>
        <v>2</v>
      </c>
      <c r="F29" s="1" t="n">
        <f aca="false">IF('Saisie 2026-06'!Y28="N/A absence longue","M",'Saisie 2026-06'!X28)</f>
        <v>2</v>
      </c>
      <c r="G29" s="1" t="n">
        <f aca="false">COUNTIF(B29:F29,"&gt;=2")</f>
        <v>5</v>
      </c>
      <c r="H29" s="1" t="str">
        <f aca="false">IF(G29=5,"5/5 ✓",IF(G29=0,"0/5 ⚠⚠",IF(G29&lt;=1,G29&amp;"/5 ⚠",G29&amp;"/5")))</f>
        <v>5/5 ✓</v>
      </c>
    </row>
    <row r="30" customFormat="false" ht="15.75" hidden="false" customHeight="true" outlineLevel="0" collapsed="false">
      <c r="A30" s="1" t="s">
        <v>96</v>
      </c>
      <c r="B30" s="1" t="n">
        <f aca="false">IF('Saisie 2026-02'!W28="N/A absence longue","M",'Saisie 2026-02'!V28)</f>
        <v>4</v>
      </c>
      <c r="C30" s="1" t="n">
        <f aca="false">IF('Saisie 2026-03'!Y28="N/A absence longue","M",'Saisie 2026-03'!X28)</f>
        <v>4</v>
      </c>
      <c r="D30" s="1" t="n">
        <f aca="false">IF('Saisie 2026-04'!Y28="N/A absence longue","M",'Saisie 2026-04'!X28)</f>
        <v>3</v>
      </c>
      <c r="E30" s="1" t="n">
        <f aca="false">IF('Saisie 2026-05'!U28="N/A absence longue","M",'Saisie 2026-05'!T28)</f>
        <v>1</v>
      </c>
      <c r="F30" s="1" t="n">
        <f aca="false">IF('Saisie 2026-06'!Y29="N/A absence longue","M",'Saisie 2026-06'!X29)</f>
        <v>3</v>
      </c>
      <c r="G30" s="1" t="n">
        <f aca="false">COUNTIF(B30:F30,"&gt;=2")</f>
        <v>4</v>
      </c>
      <c r="H30" s="1" t="str">
        <f aca="false">IF(G30=5,"5/5 ✓",IF(G30=0,"0/5 ⚠⚠",IF(G30&lt;=1,G30&amp;"/5 ⚠",G30&amp;"/5")))</f>
        <v>4/5</v>
      </c>
    </row>
    <row r="31" customFormat="false" ht="15.75" hidden="false" customHeight="true" outlineLevel="0" collapsed="false">
      <c r="A31" s="1" t="s">
        <v>79</v>
      </c>
      <c r="B31" s="1" t="n">
        <f aca="false">IF('Saisie 2026-02'!W29="N/A absence longue","M",'Saisie 2026-02'!V29)</f>
        <v>0</v>
      </c>
      <c r="C31" s="1" t="n">
        <f aca="false">IF('Saisie 2026-03'!Y29="N/A absence longue","M",'Saisie 2026-03'!X29)</f>
        <v>3</v>
      </c>
      <c r="D31" s="1" t="n">
        <f aca="false">IF('Saisie 2026-04'!Y29="N/A absence longue","M",'Saisie 2026-04'!X29)</f>
        <v>4</v>
      </c>
      <c r="E31" s="1" t="n">
        <f aca="false">IF('Saisie 2026-05'!U29="N/A absence longue","M",'Saisie 2026-05'!T29)</f>
        <v>1</v>
      </c>
      <c r="F31" s="1" t="n">
        <f aca="false">IF('Saisie 2026-06'!Y30="N/A absence longue","M",'Saisie 2026-06'!X30)</f>
        <v>5</v>
      </c>
      <c r="G31" s="1" t="n">
        <f aca="false">COUNTIF(B31:F31,"&gt;=2")</f>
        <v>3</v>
      </c>
      <c r="H31" s="1" t="str">
        <f aca="false">IF(G31=5,"5/5 ✓",IF(G31=0,"0/5 ⚠⚠",IF(G31&lt;=1,G31&amp;"/5 ⚠",G31&amp;"/5")))</f>
        <v>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2" min="1" style="3" width="12"/>
    <col collapsed="false" customWidth="true" hidden="false" outlineLevel="0" max="3" min="3" style="3" width="18"/>
    <col collapsed="false" customWidth="true" hidden="false" outlineLevel="0" max="4" min="4" style="3" width="14"/>
    <col collapsed="false" customWidth="true" hidden="false" outlineLevel="0" max="5" min="5" style="3" width="38"/>
    <col collapsed="false" customWidth="true" hidden="false" outlineLevel="0" max="8" min="6" style="3" width="50"/>
  </cols>
  <sheetData>
    <row r="1" customFormat="false" ht="17.25" hidden="false" customHeight="true" outlineLevel="0" collapsed="false">
      <c r="A1" s="40" t="s">
        <v>209</v>
      </c>
      <c r="B1" s="40"/>
      <c r="C1" s="40"/>
      <c r="D1" s="40"/>
      <c r="E1" s="40"/>
      <c r="F1" s="40"/>
      <c r="G1" s="40"/>
      <c r="H1" s="40"/>
    </row>
    <row r="2" customFormat="false" ht="25.5" hidden="false" customHeight="true" outlineLevel="0" collapsed="false">
      <c r="A2" s="41" t="s">
        <v>210</v>
      </c>
      <c r="B2" s="41"/>
      <c r="C2" s="41"/>
      <c r="D2" s="41"/>
      <c r="E2" s="41"/>
      <c r="F2" s="41"/>
      <c r="G2" s="41"/>
      <c r="H2" s="41"/>
    </row>
    <row r="3" customFormat="false" ht="21.75" hidden="false" customHeight="true" outlineLevel="0" collapsed="false">
      <c r="A3" s="42" t="s">
        <v>211</v>
      </c>
      <c r="B3" s="42" t="s">
        <v>39</v>
      </c>
      <c r="C3" s="42" t="s">
        <v>212</v>
      </c>
      <c r="D3" s="42" t="s">
        <v>213</v>
      </c>
      <c r="E3" s="42" t="s">
        <v>214</v>
      </c>
      <c r="F3" s="42" t="s">
        <v>215</v>
      </c>
      <c r="G3" s="42" t="s">
        <v>216</v>
      </c>
      <c r="H3" s="42" t="s">
        <v>217</v>
      </c>
    </row>
    <row r="4" customFormat="false" ht="15" hidden="false" customHeight="true" outlineLevel="0" collapsed="false">
      <c r="A4" s="3" t="s">
        <v>218</v>
      </c>
      <c r="B4" s="3" t="s">
        <v>172</v>
      </c>
      <c r="C4" s="43" t="n">
        <v>46162.4339351852</v>
      </c>
      <c r="D4" s="6" t="n">
        <v>5</v>
      </c>
      <c r="E4" s="3" t="s">
        <v>219</v>
      </c>
      <c r="F4" s="5" t="s">
        <v>220</v>
      </c>
      <c r="G4" s="5" t="s">
        <v>221</v>
      </c>
      <c r="H4" s="5" t="s">
        <v>222</v>
      </c>
    </row>
    <row r="5" customFormat="false" ht="15" hidden="false" customHeight="true" outlineLevel="0" collapsed="false">
      <c r="A5" s="3" t="s">
        <v>223</v>
      </c>
      <c r="B5" s="3" t="s">
        <v>172</v>
      </c>
      <c r="C5" s="43" t="n">
        <v>46162.4481828704</v>
      </c>
      <c r="D5" s="6" t="n">
        <v>2</v>
      </c>
      <c r="E5" s="3" t="s">
        <v>224</v>
      </c>
      <c r="F5" s="5" t="s">
        <v>225</v>
      </c>
      <c r="G5" s="5" t="s">
        <v>226</v>
      </c>
      <c r="H5" s="5" t="s">
        <v>227</v>
      </c>
    </row>
    <row r="6" customFormat="false" ht="15" hidden="false" customHeight="true" outlineLevel="0" collapsed="false">
      <c r="A6" s="3" t="s">
        <v>228</v>
      </c>
      <c r="B6" s="3" t="s">
        <v>172</v>
      </c>
      <c r="C6" s="43" t="n">
        <v>46162.4486574074</v>
      </c>
      <c r="D6" s="6" t="n">
        <v>2</v>
      </c>
      <c r="E6" s="3" t="s">
        <v>229</v>
      </c>
      <c r="F6" s="5" t="s">
        <v>230</v>
      </c>
      <c r="G6" s="5" t="s">
        <v>231</v>
      </c>
      <c r="H6" s="5" t="s">
        <v>232</v>
      </c>
    </row>
    <row r="7" customFormat="false" ht="15" hidden="false" customHeight="true" outlineLevel="0" collapsed="false">
      <c r="A7" s="3" t="s">
        <v>233</v>
      </c>
      <c r="B7" s="3" t="s">
        <v>172</v>
      </c>
      <c r="C7" s="43" t="n">
        <v>46162.602337963</v>
      </c>
      <c r="D7" s="6" t="n">
        <v>5</v>
      </c>
      <c r="E7" s="3" t="s">
        <v>219</v>
      </c>
      <c r="F7" s="5" t="s">
        <v>234</v>
      </c>
      <c r="G7" s="5" t="s">
        <v>235</v>
      </c>
      <c r="H7" s="5" t="s">
        <v>236</v>
      </c>
    </row>
    <row r="8" customFormat="false" ht="15" hidden="false" customHeight="true" outlineLevel="0" collapsed="false">
      <c r="A8" s="3" t="s">
        <v>237</v>
      </c>
      <c r="B8" s="3" t="s">
        <v>172</v>
      </c>
      <c r="C8" s="43" t="n">
        <v>46162.6234143519</v>
      </c>
      <c r="D8" s="6" t="n">
        <v>4</v>
      </c>
      <c r="E8" s="3" t="s">
        <v>238</v>
      </c>
      <c r="F8" s="5" t="s">
        <v>239</v>
      </c>
      <c r="G8" s="5" t="s">
        <v>240</v>
      </c>
      <c r="H8" s="5" t="s">
        <v>241</v>
      </c>
    </row>
    <row r="9" customFormat="false" ht="15" hidden="false" customHeight="true" outlineLevel="0" collapsed="false">
      <c r="A9" s="3" t="s">
        <v>242</v>
      </c>
      <c r="B9" s="3" t="s">
        <v>160</v>
      </c>
      <c r="C9" s="43" t="n">
        <v>46064.6432291667</v>
      </c>
      <c r="D9" s="6" t="n">
        <v>5</v>
      </c>
      <c r="E9" s="3" t="s">
        <v>238</v>
      </c>
      <c r="F9" s="5" t="s">
        <v>243</v>
      </c>
      <c r="G9" s="5" t="s">
        <v>244</v>
      </c>
      <c r="H9" s="5" t="s">
        <v>245</v>
      </c>
    </row>
    <row r="10" customFormat="false" ht="15" hidden="false" customHeight="true" outlineLevel="0" collapsed="false">
      <c r="A10" s="3" t="s">
        <v>246</v>
      </c>
      <c r="B10" s="3" t="s">
        <v>160</v>
      </c>
      <c r="C10" s="43" t="n">
        <v>46064.6479166667</v>
      </c>
      <c r="D10" s="6" t="n">
        <v>5</v>
      </c>
      <c r="E10" s="3" t="s">
        <v>238</v>
      </c>
      <c r="F10" s="5" t="s">
        <v>247</v>
      </c>
      <c r="G10" s="5" t="s">
        <v>248</v>
      </c>
      <c r="H10" s="5"/>
    </row>
    <row r="11" customFormat="false" ht="15" hidden="false" customHeight="true" outlineLevel="0" collapsed="false">
      <c r="A11" s="3" t="s">
        <v>249</v>
      </c>
      <c r="B11" s="3" t="s">
        <v>160</v>
      </c>
      <c r="C11" s="43" t="n">
        <v>46064.6531944444</v>
      </c>
      <c r="D11" s="6" t="n">
        <v>4</v>
      </c>
      <c r="E11" s="3" t="s">
        <v>219</v>
      </c>
      <c r="F11" s="5" t="s">
        <v>250</v>
      </c>
      <c r="G11" s="5" t="s">
        <v>251</v>
      </c>
      <c r="H11" s="5" t="s">
        <v>252</v>
      </c>
    </row>
    <row r="12" customFormat="false" ht="15" hidden="false" customHeight="true" outlineLevel="0" collapsed="false">
      <c r="A12" s="3" t="s">
        <v>253</v>
      </c>
      <c r="B12" s="3" t="s">
        <v>160</v>
      </c>
      <c r="C12" s="43" t="n">
        <v>46064.6656481482</v>
      </c>
      <c r="D12" s="6" t="n">
        <v>5</v>
      </c>
      <c r="E12" s="3" t="s">
        <v>238</v>
      </c>
      <c r="F12" s="5" t="s">
        <v>254</v>
      </c>
      <c r="G12" s="5" t="s">
        <v>255</v>
      </c>
      <c r="H12" s="5" t="s">
        <v>256</v>
      </c>
    </row>
    <row r="13" customFormat="false" ht="15" hidden="false" customHeight="true" outlineLevel="0" collapsed="false">
      <c r="A13" s="3" t="s">
        <v>257</v>
      </c>
      <c r="B13" s="3" t="s">
        <v>160</v>
      </c>
      <c r="C13" s="43" t="n">
        <v>46064.8131018519</v>
      </c>
      <c r="D13" s="6" t="n">
        <v>4</v>
      </c>
      <c r="E13" s="3" t="s">
        <v>219</v>
      </c>
      <c r="F13" s="5" t="s">
        <v>258</v>
      </c>
      <c r="G13" s="5" t="s">
        <v>259</v>
      </c>
      <c r="H13" s="5" t="s">
        <v>260</v>
      </c>
    </row>
    <row r="14" customFormat="false" ht="15" hidden="false" customHeight="true" outlineLevel="0" collapsed="false">
      <c r="A14" s="3" t="s">
        <v>261</v>
      </c>
      <c r="B14" s="3" t="s">
        <v>160</v>
      </c>
      <c r="C14" s="43" t="n">
        <v>46065</v>
      </c>
      <c r="D14" s="6" t="n">
        <v>4</v>
      </c>
      <c r="E14" s="3" t="s">
        <v>219</v>
      </c>
      <c r="F14" s="5" t="s">
        <v>262</v>
      </c>
      <c r="G14" s="5" t="s">
        <v>263</v>
      </c>
      <c r="H14" s="5" t="s">
        <v>264</v>
      </c>
    </row>
    <row r="15" customFormat="false" ht="15" hidden="false" customHeight="true" outlineLevel="0" collapsed="false">
      <c r="A15" s="3" t="s">
        <v>265</v>
      </c>
      <c r="B15" s="3" t="s">
        <v>160</v>
      </c>
      <c r="C15" s="43" t="n">
        <v>46065.3770023148</v>
      </c>
      <c r="D15" s="6" t="n">
        <v>5</v>
      </c>
      <c r="E15" s="3" t="s">
        <v>238</v>
      </c>
      <c r="F15" s="5" t="s">
        <v>266</v>
      </c>
      <c r="G15" s="5" t="s">
        <v>267</v>
      </c>
      <c r="H15" s="5" t="s">
        <v>264</v>
      </c>
    </row>
    <row r="16" customFormat="false" ht="15" hidden="false" customHeight="true" outlineLevel="0" collapsed="false">
      <c r="A16" s="3" t="s">
        <v>268</v>
      </c>
      <c r="B16" s="3" t="s">
        <v>160</v>
      </c>
      <c r="C16" s="43" t="n">
        <v>46065.6885763889</v>
      </c>
      <c r="D16" s="6" t="n">
        <v>4</v>
      </c>
      <c r="E16" s="3" t="s">
        <v>219</v>
      </c>
      <c r="F16" s="5" t="s">
        <v>269</v>
      </c>
      <c r="G16" s="5" t="s">
        <v>270</v>
      </c>
      <c r="H16" s="5" t="s">
        <v>271</v>
      </c>
    </row>
    <row r="17" customFormat="false" ht="15" hidden="false" customHeight="true" outlineLevel="0" collapsed="false">
      <c r="A17" s="3" t="s">
        <v>272</v>
      </c>
      <c r="B17" s="3" t="s">
        <v>161</v>
      </c>
      <c r="C17" s="43" t="n">
        <v>46078.4725925926</v>
      </c>
      <c r="D17" s="6" t="n">
        <v>4</v>
      </c>
      <c r="E17" s="3" t="s">
        <v>238</v>
      </c>
      <c r="F17" s="5" t="s">
        <v>273</v>
      </c>
      <c r="G17" s="5" t="s">
        <v>274</v>
      </c>
      <c r="H17" s="5" t="s">
        <v>275</v>
      </c>
    </row>
    <row r="18" customFormat="false" ht="15" hidden="false" customHeight="true" outlineLevel="0" collapsed="false">
      <c r="A18" s="3" t="s">
        <v>276</v>
      </c>
      <c r="B18" s="3" t="s">
        <v>161</v>
      </c>
      <c r="C18" s="43" t="n">
        <v>46078.4871643519</v>
      </c>
      <c r="D18" s="6" t="n">
        <v>5</v>
      </c>
      <c r="E18" s="3" t="s">
        <v>238</v>
      </c>
      <c r="F18" s="5" t="s">
        <v>277</v>
      </c>
      <c r="G18" s="5" t="s">
        <v>278</v>
      </c>
      <c r="H18" s="5" t="s">
        <v>279</v>
      </c>
    </row>
    <row r="19" customFormat="false" ht="15" hidden="false" customHeight="true" outlineLevel="0" collapsed="false">
      <c r="A19" s="3" t="s">
        <v>280</v>
      </c>
      <c r="B19" s="3" t="s">
        <v>161</v>
      </c>
      <c r="C19" s="43" t="n">
        <v>46078.4953587963</v>
      </c>
      <c r="D19" s="6" t="n">
        <v>4</v>
      </c>
      <c r="E19" s="3" t="s">
        <v>238</v>
      </c>
      <c r="F19" s="5" t="s">
        <v>281</v>
      </c>
      <c r="G19" s="5" t="s">
        <v>282</v>
      </c>
      <c r="H19" s="5" t="s">
        <v>283</v>
      </c>
    </row>
    <row r="20" customFormat="false" ht="15" hidden="false" customHeight="true" outlineLevel="0" collapsed="false">
      <c r="A20" s="3" t="s">
        <v>284</v>
      </c>
      <c r="B20" s="3" t="s">
        <v>161</v>
      </c>
      <c r="C20" s="43" t="n">
        <v>46078.5029513889</v>
      </c>
      <c r="D20" s="6" t="n">
        <v>5</v>
      </c>
      <c r="E20" s="3" t="s">
        <v>238</v>
      </c>
      <c r="F20" s="5" t="s">
        <v>285</v>
      </c>
      <c r="G20" s="5" t="s">
        <v>286</v>
      </c>
      <c r="H20" s="5" t="s">
        <v>287</v>
      </c>
    </row>
    <row r="21" customFormat="false" ht="15" hidden="false" customHeight="true" outlineLevel="0" collapsed="false">
      <c r="A21" s="3" t="s">
        <v>288</v>
      </c>
      <c r="B21" s="3" t="s">
        <v>161</v>
      </c>
      <c r="C21" s="43" t="n">
        <v>46078.5237268519</v>
      </c>
      <c r="D21" s="6" t="n">
        <v>4</v>
      </c>
      <c r="E21" s="3" t="s">
        <v>219</v>
      </c>
      <c r="F21" s="5" t="s">
        <v>289</v>
      </c>
      <c r="G21" s="5" t="s">
        <v>290</v>
      </c>
      <c r="H21" s="5" t="s">
        <v>291</v>
      </c>
    </row>
    <row r="22" customFormat="false" ht="15" hidden="false" customHeight="true" outlineLevel="0" collapsed="false">
      <c r="A22" s="3" t="s">
        <v>292</v>
      </c>
      <c r="B22" s="3" t="s">
        <v>161</v>
      </c>
      <c r="C22" s="43" t="n">
        <v>46078.6300810185</v>
      </c>
      <c r="D22" s="6" t="n">
        <v>5</v>
      </c>
      <c r="E22" s="3" t="s">
        <v>238</v>
      </c>
      <c r="F22" s="5" t="s">
        <v>293</v>
      </c>
      <c r="G22" s="5" t="s">
        <v>294</v>
      </c>
      <c r="H22" s="5" t="s">
        <v>295</v>
      </c>
    </row>
    <row r="23" customFormat="false" ht="15" hidden="false" customHeight="true" outlineLevel="0" collapsed="false">
      <c r="A23" s="3" t="s">
        <v>296</v>
      </c>
      <c r="B23" s="3" t="s">
        <v>161</v>
      </c>
      <c r="C23" s="43" t="n">
        <v>46079.6404861111</v>
      </c>
      <c r="D23" s="6" t="n">
        <v>5</v>
      </c>
      <c r="E23" s="3" t="s">
        <v>238</v>
      </c>
      <c r="F23" s="5" t="s">
        <v>297</v>
      </c>
      <c r="G23" s="5" t="s">
        <v>298</v>
      </c>
      <c r="H23" s="5" t="s">
        <v>299</v>
      </c>
    </row>
    <row r="24" customFormat="false" ht="15" hidden="false" customHeight="true" outlineLevel="0" collapsed="false">
      <c r="A24" s="3" t="s">
        <v>300</v>
      </c>
      <c r="B24" s="3" t="s">
        <v>163</v>
      </c>
      <c r="C24" s="43" t="n">
        <v>46099.4272569444</v>
      </c>
      <c r="D24" s="6" t="n">
        <v>4</v>
      </c>
      <c r="E24" s="3" t="s">
        <v>219</v>
      </c>
      <c r="F24" s="5" t="s">
        <v>301</v>
      </c>
      <c r="G24" s="5" t="s">
        <v>302</v>
      </c>
      <c r="H24" s="5" t="s">
        <v>264</v>
      </c>
    </row>
    <row r="25" customFormat="false" ht="15" hidden="false" customHeight="true" outlineLevel="0" collapsed="false">
      <c r="A25" s="3" t="s">
        <v>303</v>
      </c>
      <c r="B25" s="3" t="s">
        <v>163</v>
      </c>
      <c r="C25" s="43" t="n">
        <v>46099.4301851852</v>
      </c>
      <c r="D25" s="6" t="n">
        <v>5</v>
      </c>
      <c r="E25" s="3" t="s">
        <v>219</v>
      </c>
      <c r="F25" s="5" t="s">
        <v>304</v>
      </c>
      <c r="G25" s="5" t="s">
        <v>305</v>
      </c>
      <c r="H25" s="5" t="s">
        <v>306</v>
      </c>
    </row>
    <row r="26" customFormat="false" ht="15" hidden="false" customHeight="true" outlineLevel="0" collapsed="false">
      <c r="A26" s="3" t="s">
        <v>307</v>
      </c>
      <c r="B26" s="3" t="s">
        <v>163</v>
      </c>
      <c r="C26" s="43" t="n">
        <v>46099.4428240741</v>
      </c>
      <c r="D26" s="6" t="n">
        <v>4</v>
      </c>
      <c r="E26" s="3" t="s">
        <v>219</v>
      </c>
      <c r="F26" s="5" t="s">
        <v>308</v>
      </c>
      <c r="G26" s="5" t="s">
        <v>309</v>
      </c>
      <c r="H26" s="5" t="s">
        <v>310</v>
      </c>
    </row>
    <row r="27" customFormat="false" ht="15" hidden="false" customHeight="true" outlineLevel="0" collapsed="false">
      <c r="A27" s="3" t="s">
        <v>311</v>
      </c>
      <c r="B27" s="3" t="s">
        <v>163</v>
      </c>
      <c r="C27" s="43" t="n">
        <v>46099.4693287037</v>
      </c>
      <c r="D27" s="6" t="n">
        <v>3</v>
      </c>
      <c r="E27" s="3" t="s">
        <v>224</v>
      </c>
      <c r="F27" s="5" t="s">
        <v>312</v>
      </c>
      <c r="G27" s="5" t="s">
        <v>313</v>
      </c>
      <c r="H27" s="5" t="s">
        <v>314</v>
      </c>
    </row>
    <row r="28" customFormat="false" ht="15" hidden="false" customHeight="true" outlineLevel="0" collapsed="false">
      <c r="A28" s="3" t="s">
        <v>315</v>
      </c>
      <c r="B28" s="3" t="s">
        <v>163</v>
      </c>
      <c r="C28" s="43" t="n">
        <v>46099.5103009259</v>
      </c>
      <c r="D28" s="6" t="n">
        <v>4</v>
      </c>
      <c r="E28" s="3" t="s">
        <v>229</v>
      </c>
      <c r="F28" s="5" t="s">
        <v>316</v>
      </c>
      <c r="G28" s="5" t="s">
        <v>317</v>
      </c>
      <c r="H28" s="5" t="s">
        <v>318</v>
      </c>
    </row>
    <row r="29" customFormat="false" ht="15" hidden="false" customHeight="true" outlineLevel="0" collapsed="false">
      <c r="A29" s="3" t="s">
        <v>319</v>
      </c>
      <c r="B29" s="3" t="s">
        <v>163</v>
      </c>
      <c r="C29" s="43" t="n">
        <v>46099.7573726852</v>
      </c>
      <c r="D29" s="6" t="n">
        <v>5</v>
      </c>
      <c r="E29" s="3" t="s">
        <v>219</v>
      </c>
      <c r="F29" s="5" t="s">
        <v>320</v>
      </c>
      <c r="G29" s="5" t="s">
        <v>321</v>
      </c>
      <c r="H29" s="5" t="s">
        <v>322</v>
      </c>
    </row>
    <row r="30" customFormat="false" ht="15" hidden="false" customHeight="true" outlineLevel="0" collapsed="false">
      <c r="A30" s="3" t="s">
        <v>323</v>
      </c>
      <c r="B30" s="3" t="s">
        <v>163</v>
      </c>
      <c r="C30" s="43" t="n">
        <v>46099.8146180556</v>
      </c>
      <c r="D30" s="6" t="n">
        <v>5</v>
      </c>
      <c r="E30" s="3" t="s">
        <v>219</v>
      </c>
      <c r="F30" s="5" t="s">
        <v>324</v>
      </c>
      <c r="G30" s="5" t="s">
        <v>325</v>
      </c>
      <c r="H30" s="5" t="s">
        <v>326</v>
      </c>
    </row>
    <row r="31" customFormat="false" ht="15" hidden="false" customHeight="true" outlineLevel="0" collapsed="false">
      <c r="A31" s="3" t="s">
        <v>327</v>
      </c>
      <c r="B31" s="3" t="s">
        <v>163</v>
      </c>
      <c r="C31" s="43" t="n">
        <v>46100.4190509259</v>
      </c>
      <c r="D31" s="6" t="n">
        <v>3</v>
      </c>
      <c r="E31" s="3" t="s">
        <v>229</v>
      </c>
      <c r="F31" s="5" t="s">
        <v>328</v>
      </c>
      <c r="G31" s="5" t="s">
        <v>329</v>
      </c>
      <c r="H31" s="5" t="s">
        <v>330</v>
      </c>
    </row>
    <row r="32" customFormat="false" ht="15" hidden="false" customHeight="true" outlineLevel="0" collapsed="false">
      <c r="A32" s="3" t="s">
        <v>331</v>
      </c>
      <c r="B32" s="3" t="s">
        <v>163</v>
      </c>
      <c r="C32" s="43" t="n">
        <v>46100.5028356482</v>
      </c>
      <c r="D32" s="6" t="n">
        <v>5</v>
      </c>
      <c r="E32" s="3" t="s">
        <v>219</v>
      </c>
      <c r="F32" s="5" t="s">
        <v>332</v>
      </c>
      <c r="G32" s="5" t="s">
        <v>333</v>
      </c>
      <c r="H32" s="5" t="s">
        <v>334</v>
      </c>
    </row>
    <row r="33" customFormat="false" ht="15" hidden="false" customHeight="true" outlineLevel="0" collapsed="false">
      <c r="A33" s="3" t="s">
        <v>335</v>
      </c>
      <c r="B33" s="3" t="s">
        <v>165</v>
      </c>
      <c r="C33" s="43" t="n">
        <v>46149.4851273148</v>
      </c>
      <c r="D33" s="6" t="n">
        <v>4</v>
      </c>
      <c r="E33" s="3" t="s">
        <v>238</v>
      </c>
      <c r="F33" s="5" t="s">
        <v>336</v>
      </c>
      <c r="G33" s="5" t="s">
        <v>337</v>
      </c>
      <c r="H33" s="5" t="s">
        <v>338</v>
      </c>
    </row>
    <row r="34" customFormat="false" ht="15" hidden="false" customHeight="true" outlineLevel="0" collapsed="false">
      <c r="A34" s="3" t="s">
        <v>339</v>
      </c>
      <c r="B34" s="3" t="s">
        <v>165</v>
      </c>
      <c r="C34" s="43" t="n">
        <v>46149.736099537</v>
      </c>
      <c r="D34" s="6" t="n">
        <v>5</v>
      </c>
      <c r="E34" s="3" t="s">
        <v>238</v>
      </c>
      <c r="F34" s="5" t="s">
        <v>340</v>
      </c>
      <c r="G34" s="5" t="s">
        <v>264</v>
      </c>
      <c r="H34" s="5" t="s">
        <v>341</v>
      </c>
    </row>
    <row r="35" customFormat="false" ht="15" hidden="false" customHeight="true" outlineLevel="0" collapsed="false">
      <c r="A35" s="3" t="s">
        <v>342</v>
      </c>
      <c r="B35" s="3" t="s">
        <v>165</v>
      </c>
      <c r="C35" s="43" t="n">
        <v>46149.7753356482</v>
      </c>
      <c r="D35" s="6" t="n">
        <v>5</v>
      </c>
      <c r="E35" s="3" t="s">
        <v>238</v>
      </c>
      <c r="F35" s="5" t="s">
        <v>343</v>
      </c>
      <c r="G35" s="5" t="s">
        <v>344</v>
      </c>
      <c r="H35" s="5" t="s">
        <v>345</v>
      </c>
    </row>
    <row r="36" customFormat="false" ht="15" hidden="false" customHeight="true" outlineLevel="0" collapsed="false">
      <c r="A36" s="3" t="s">
        <v>346</v>
      </c>
      <c r="B36" s="3" t="s">
        <v>165</v>
      </c>
      <c r="C36" s="43" t="n">
        <v>46149.8543634259</v>
      </c>
      <c r="D36" s="6" t="n">
        <v>5</v>
      </c>
      <c r="E36" s="3" t="s">
        <v>238</v>
      </c>
      <c r="F36" s="5" t="s">
        <v>347</v>
      </c>
      <c r="G36" s="5" t="s">
        <v>348</v>
      </c>
      <c r="H36" s="5" t="s">
        <v>349</v>
      </c>
    </row>
    <row r="37" customFormat="false" ht="15" hidden="false" customHeight="true" outlineLevel="0" collapsed="false">
      <c r="A37" s="3" t="s">
        <v>350</v>
      </c>
      <c r="B37" s="3" t="s">
        <v>165</v>
      </c>
      <c r="C37" s="43" t="n">
        <v>46153.438599537</v>
      </c>
      <c r="D37" s="6" t="n">
        <v>5</v>
      </c>
      <c r="E37" s="3" t="s">
        <v>238</v>
      </c>
      <c r="F37" s="5" t="s">
        <v>351</v>
      </c>
      <c r="G37" s="5" t="s">
        <v>352</v>
      </c>
      <c r="H37" s="5" t="s">
        <v>353</v>
      </c>
    </row>
    <row r="38" customFormat="false" ht="15" hidden="false" customHeight="true" outlineLevel="0" collapsed="false">
      <c r="A38" s="3" t="s">
        <v>354</v>
      </c>
      <c r="B38" s="3" t="s">
        <v>165</v>
      </c>
      <c r="C38" s="43" t="n">
        <v>46153.4455324074</v>
      </c>
      <c r="D38" s="6" t="n">
        <v>5</v>
      </c>
      <c r="E38" s="3" t="s">
        <v>238</v>
      </c>
      <c r="F38" s="5" t="s">
        <v>355</v>
      </c>
      <c r="G38" s="5" t="s">
        <v>356</v>
      </c>
      <c r="H38" s="5" t="s">
        <v>357</v>
      </c>
    </row>
    <row r="39" customFormat="false" ht="15" hidden="false" customHeight="true" outlineLevel="0" collapsed="false">
      <c r="A39" s="3" t="s">
        <v>358</v>
      </c>
      <c r="B39" s="3" t="s">
        <v>165</v>
      </c>
      <c r="C39" s="43" t="n">
        <v>46155.6743402778</v>
      </c>
      <c r="D39" s="6" t="n">
        <v>5</v>
      </c>
      <c r="E39" s="3" t="s">
        <v>238</v>
      </c>
      <c r="F39" s="5" t="s">
        <v>359</v>
      </c>
      <c r="G39" s="5" t="s">
        <v>360</v>
      </c>
      <c r="H39" s="5" t="s">
        <v>361</v>
      </c>
    </row>
    <row r="40" customFormat="false" ht="15" hidden="false" customHeight="true" outlineLevel="0" collapsed="false">
      <c r="A40" s="3" t="s">
        <v>362</v>
      </c>
      <c r="B40" s="3" t="s">
        <v>167</v>
      </c>
      <c r="C40" s="43" t="n">
        <v>46120.4195138889</v>
      </c>
      <c r="D40" s="6" t="n">
        <v>5</v>
      </c>
      <c r="E40" s="3" t="s">
        <v>238</v>
      </c>
      <c r="F40" s="5" t="s">
        <v>363</v>
      </c>
      <c r="G40" s="5" t="s">
        <v>364</v>
      </c>
      <c r="H40" s="5" t="s">
        <v>264</v>
      </c>
    </row>
    <row r="41" customFormat="false" ht="15" hidden="false" customHeight="true" outlineLevel="0" collapsed="false">
      <c r="A41" s="3" t="s">
        <v>365</v>
      </c>
      <c r="B41" s="3" t="s">
        <v>167</v>
      </c>
      <c r="C41" s="43" t="n">
        <v>46120.4254050926</v>
      </c>
      <c r="D41" s="6" t="n">
        <v>4</v>
      </c>
      <c r="E41" s="3" t="s">
        <v>238</v>
      </c>
      <c r="F41" s="5" t="s">
        <v>366</v>
      </c>
      <c r="G41" s="5" t="s">
        <v>367</v>
      </c>
      <c r="H41" s="5" t="s">
        <v>368</v>
      </c>
    </row>
    <row r="42" customFormat="false" ht="15" hidden="false" customHeight="true" outlineLevel="0" collapsed="false">
      <c r="A42" s="3" t="s">
        <v>369</v>
      </c>
      <c r="B42" s="3" t="s">
        <v>167</v>
      </c>
      <c r="C42" s="43" t="n">
        <v>46120.4412962963</v>
      </c>
      <c r="D42" s="6" t="n">
        <v>5</v>
      </c>
      <c r="E42" s="3" t="s">
        <v>238</v>
      </c>
      <c r="F42" s="5" t="s">
        <v>370</v>
      </c>
      <c r="G42" s="5" t="s">
        <v>371</v>
      </c>
      <c r="H42" s="5" t="s">
        <v>372</v>
      </c>
    </row>
    <row r="43" customFormat="false" ht="15" hidden="false" customHeight="true" outlineLevel="0" collapsed="false">
      <c r="A43" s="3" t="s">
        <v>373</v>
      </c>
      <c r="B43" s="3" t="s">
        <v>167</v>
      </c>
      <c r="C43" s="43" t="n">
        <v>46120.4891087963</v>
      </c>
      <c r="D43" s="6" t="n">
        <v>4</v>
      </c>
      <c r="E43" s="3" t="s">
        <v>238</v>
      </c>
      <c r="F43" s="5" t="s">
        <v>343</v>
      </c>
      <c r="G43" s="5" t="s">
        <v>374</v>
      </c>
      <c r="H43" s="5" t="s">
        <v>375</v>
      </c>
    </row>
    <row r="44" customFormat="false" ht="15" hidden="false" customHeight="true" outlineLevel="0" collapsed="false">
      <c r="A44" s="3" t="s">
        <v>376</v>
      </c>
      <c r="B44" s="3" t="s">
        <v>167</v>
      </c>
      <c r="C44" s="43" t="n">
        <v>46120.5298842593</v>
      </c>
      <c r="D44" s="6" t="n">
        <v>5</v>
      </c>
      <c r="E44" s="3" t="s">
        <v>238</v>
      </c>
      <c r="F44" s="5" t="s">
        <v>377</v>
      </c>
      <c r="G44" s="5" t="s">
        <v>378</v>
      </c>
      <c r="H44" s="5" t="s">
        <v>379</v>
      </c>
    </row>
    <row r="45" customFormat="false" ht="15" hidden="false" customHeight="true" outlineLevel="0" collapsed="false">
      <c r="A45" s="3" t="s">
        <v>380</v>
      </c>
      <c r="B45" s="3" t="s">
        <v>167</v>
      </c>
      <c r="C45" s="43" t="n">
        <v>46120.5797337963</v>
      </c>
      <c r="D45" s="6" t="n">
        <v>5</v>
      </c>
      <c r="E45" s="3" t="s">
        <v>238</v>
      </c>
      <c r="F45" s="5" t="s">
        <v>381</v>
      </c>
      <c r="G45" s="5" t="s">
        <v>382</v>
      </c>
      <c r="H45" s="5" t="s">
        <v>383</v>
      </c>
    </row>
    <row r="46" customFormat="false" ht="15" hidden="false" customHeight="true" outlineLevel="0" collapsed="false">
      <c r="A46" s="3" t="s">
        <v>384</v>
      </c>
      <c r="B46" s="3" t="s">
        <v>169</v>
      </c>
      <c r="C46" s="43" t="n">
        <v>46141.4703703704</v>
      </c>
      <c r="D46" s="6" t="n">
        <v>5</v>
      </c>
      <c r="E46" s="3" t="s">
        <v>229</v>
      </c>
      <c r="F46" s="5" t="s">
        <v>385</v>
      </c>
      <c r="G46" s="5" t="s">
        <v>386</v>
      </c>
      <c r="H46" s="5" t="s">
        <v>387</v>
      </c>
    </row>
    <row r="47" customFormat="false" ht="15" hidden="false" customHeight="true" outlineLevel="0" collapsed="false">
      <c r="A47" s="3" t="s">
        <v>388</v>
      </c>
      <c r="B47" s="3" t="s">
        <v>169</v>
      </c>
      <c r="C47" s="43" t="n">
        <v>46141.4704282407</v>
      </c>
      <c r="D47" s="6" t="n">
        <v>5</v>
      </c>
      <c r="E47" s="3" t="s">
        <v>238</v>
      </c>
      <c r="F47" s="5" t="s">
        <v>389</v>
      </c>
      <c r="G47" s="5" t="s">
        <v>390</v>
      </c>
      <c r="H47" s="5" t="s">
        <v>391</v>
      </c>
    </row>
    <row r="48" customFormat="false" ht="15" hidden="false" customHeight="true" outlineLevel="0" collapsed="false">
      <c r="A48" s="3" t="s">
        <v>392</v>
      </c>
      <c r="B48" s="3" t="s">
        <v>169</v>
      </c>
      <c r="C48" s="43" t="n">
        <v>46141.4748842593</v>
      </c>
      <c r="D48" s="6" t="n">
        <v>5</v>
      </c>
      <c r="E48" s="3" t="s">
        <v>229</v>
      </c>
      <c r="F48" s="5" t="s">
        <v>393</v>
      </c>
      <c r="G48" s="5" t="s">
        <v>394</v>
      </c>
      <c r="H48" s="5" t="s">
        <v>395</v>
      </c>
    </row>
    <row r="49" customFormat="false" ht="15" hidden="false" customHeight="true" outlineLevel="0" collapsed="false">
      <c r="A49" s="3" t="s">
        <v>396</v>
      </c>
      <c r="B49" s="3" t="s">
        <v>169</v>
      </c>
      <c r="C49" s="43" t="n">
        <v>46142.5408333333</v>
      </c>
      <c r="D49" s="6" t="n">
        <v>4</v>
      </c>
      <c r="E49" s="3" t="s">
        <v>219</v>
      </c>
      <c r="F49" s="5" t="s">
        <v>397</v>
      </c>
      <c r="G49" s="5" t="s">
        <v>398</v>
      </c>
      <c r="H49" s="5" t="s">
        <v>399</v>
      </c>
    </row>
    <row r="50" customFormat="false" ht="15" hidden="false" customHeight="true" outlineLevel="0" collapsed="false">
      <c r="A50" s="3" t="s">
        <v>400</v>
      </c>
      <c r="B50" s="3" t="s">
        <v>169</v>
      </c>
      <c r="C50" s="43" t="n">
        <v>46146.5484490741</v>
      </c>
      <c r="D50" s="6" t="n">
        <v>2</v>
      </c>
      <c r="E50" s="3" t="s">
        <v>224</v>
      </c>
      <c r="F50" s="5" t="s">
        <v>401</v>
      </c>
      <c r="G50" s="5" t="s">
        <v>402</v>
      </c>
      <c r="H50" s="5" t="s">
        <v>224</v>
      </c>
    </row>
    <row r="51" customFormat="false" ht="15" hidden="false" customHeight="true" outlineLevel="0" collapsed="false">
      <c r="C51" s="43"/>
      <c r="D51" s="6"/>
      <c r="F51" s="5"/>
      <c r="G51" s="5"/>
      <c r="H51" s="5"/>
    </row>
    <row r="52" customFormat="false" ht="15" hidden="false" customHeight="true" outlineLevel="0" collapsed="false">
      <c r="C52" s="43"/>
      <c r="D52" s="6"/>
      <c r="F52" s="5"/>
      <c r="G52" s="5"/>
      <c r="H52" s="5"/>
    </row>
    <row r="53" customFormat="false" ht="15" hidden="false" customHeight="true" outlineLevel="0" collapsed="false">
      <c r="C53" s="43"/>
      <c r="D53" s="6"/>
      <c r="F53" s="5"/>
      <c r="G53" s="5"/>
      <c r="H53" s="5"/>
    </row>
    <row r="54" customFormat="false" ht="15" hidden="false" customHeight="true" outlineLevel="0" collapsed="false">
      <c r="C54" s="43"/>
      <c r="D54" s="6"/>
      <c r="F54" s="5"/>
      <c r="G54" s="5"/>
      <c r="H54" s="5"/>
    </row>
    <row r="55" customFormat="false" ht="15" hidden="false" customHeight="true" outlineLevel="0" collapsed="false">
      <c r="C55" s="43"/>
      <c r="D55" s="6"/>
      <c r="F55" s="5"/>
      <c r="G55" s="5"/>
      <c r="H55" s="5"/>
    </row>
    <row r="56" customFormat="false" ht="15" hidden="false" customHeight="true" outlineLevel="0" collapsed="false">
      <c r="C56" s="43"/>
      <c r="D56" s="6"/>
      <c r="F56" s="5"/>
      <c r="G56" s="5"/>
      <c r="H56" s="5"/>
    </row>
    <row r="57" customFormat="false" ht="15" hidden="false" customHeight="true" outlineLevel="0" collapsed="false">
      <c r="C57" s="43"/>
      <c r="D57" s="6"/>
      <c r="F57" s="5"/>
      <c r="G57" s="5"/>
      <c r="H57" s="5"/>
    </row>
    <row r="58" customFormat="false" ht="15" hidden="false" customHeight="true" outlineLevel="0" collapsed="false">
      <c r="C58" s="43"/>
      <c r="D58" s="6"/>
      <c r="F58" s="5"/>
      <c r="G58" s="5"/>
      <c r="H58" s="5"/>
    </row>
    <row r="59" customFormat="false" ht="15" hidden="false" customHeight="true" outlineLevel="0" collapsed="false">
      <c r="C59" s="43"/>
      <c r="D59" s="6"/>
      <c r="F59" s="5"/>
      <c r="G59" s="5"/>
      <c r="H59" s="5"/>
    </row>
    <row r="60" customFormat="false" ht="15" hidden="false" customHeight="true" outlineLevel="0" collapsed="false">
      <c r="C60" s="43"/>
      <c r="D60" s="6"/>
      <c r="F60" s="5"/>
      <c r="G60" s="5"/>
      <c r="H60" s="5"/>
    </row>
    <row r="61" customFormat="false" ht="15" hidden="false" customHeight="true" outlineLevel="0" collapsed="false">
      <c r="C61" s="43"/>
      <c r="D61" s="6"/>
      <c r="F61" s="5"/>
      <c r="G61" s="5"/>
      <c r="H61" s="5"/>
    </row>
    <row r="62" customFormat="false" ht="15" hidden="false" customHeight="true" outlineLevel="0" collapsed="false">
      <c r="C62" s="43"/>
      <c r="D62" s="6"/>
      <c r="F62" s="5"/>
      <c r="G62" s="5"/>
      <c r="H62" s="5"/>
    </row>
    <row r="63" customFormat="false" ht="15" hidden="false" customHeight="true" outlineLevel="0" collapsed="false">
      <c r="C63" s="43"/>
      <c r="D63" s="6"/>
      <c r="F63" s="5"/>
      <c r="G63" s="5"/>
      <c r="H63" s="5"/>
    </row>
    <row r="64" customFormat="false" ht="15" hidden="false" customHeight="true" outlineLevel="0" collapsed="false">
      <c r="C64" s="43"/>
      <c r="D64" s="6"/>
      <c r="F64" s="5"/>
      <c r="G64" s="5"/>
      <c r="H64" s="5"/>
    </row>
    <row r="65" customFormat="false" ht="15" hidden="false" customHeight="true" outlineLevel="0" collapsed="false">
      <c r="C65" s="43"/>
      <c r="D65" s="6"/>
      <c r="F65" s="5"/>
      <c r="G65" s="5"/>
      <c r="H65" s="5"/>
    </row>
    <row r="66" customFormat="false" ht="15" hidden="false" customHeight="true" outlineLevel="0" collapsed="false">
      <c r="C66" s="43"/>
      <c r="D66" s="6"/>
      <c r="F66" s="5"/>
      <c r="G66" s="5"/>
      <c r="H66" s="5"/>
    </row>
    <row r="67" customFormat="false" ht="15" hidden="false" customHeight="true" outlineLevel="0" collapsed="false">
      <c r="C67" s="43"/>
      <c r="D67" s="6"/>
      <c r="F67" s="5"/>
      <c r="G67" s="5"/>
      <c r="H67" s="5"/>
    </row>
    <row r="68" customFormat="false" ht="15" hidden="false" customHeight="true" outlineLevel="0" collapsed="false">
      <c r="C68" s="43"/>
      <c r="D68" s="6"/>
      <c r="F68" s="5"/>
      <c r="G68" s="5"/>
      <c r="H68" s="5"/>
    </row>
    <row r="69" customFormat="false" ht="15" hidden="false" customHeight="true" outlineLevel="0" collapsed="false">
      <c r="C69" s="43"/>
      <c r="D69" s="6"/>
      <c r="F69" s="5"/>
      <c r="G69" s="5"/>
      <c r="H69" s="5"/>
    </row>
    <row r="70" customFormat="false" ht="15" hidden="false" customHeight="true" outlineLevel="0" collapsed="false">
      <c r="C70" s="43"/>
      <c r="D70" s="6"/>
      <c r="F70" s="5"/>
      <c r="G70" s="5"/>
      <c r="H70" s="5"/>
    </row>
    <row r="71" customFormat="false" ht="15" hidden="false" customHeight="true" outlineLevel="0" collapsed="false">
      <c r="C71" s="43"/>
      <c r="D71" s="6"/>
      <c r="F71" s="5"/>
      <c r="G71" s="5"/>
      <c r="H71" s="5"/>
    </row>
    <row r="72" customFormat="false" ht="15" hidden="false" customHeight="true" outlineLevel="0" collapsed="false">
      <c r="C72" s="43"/>
      <c r="D72" s="6"/>
      <c r="F72" s="5"/>
      <c r="G72" s="5"/>
      <c r="H72" s="5"/>
    </row>
    <row r="73" customFormat="false" ht="15" hidden="false" customHeight="true" outlineLevel="0" collapsed="false">
      <c r="C73" s="43"/>
      <c r="D73" s="6"/>
      <c r="F73" s="5"/>
      <c r="G73" s="5"/>
      <c r="H73" s="5"/>
    </row>
    <row r="74" customFormat="false" ht="15" hidden="false" customHeight="true" outlineLevel="0" collapsed="false">
      <c r="C74" s="43"/>
      <c r="D74" s="6"/>
      <c r="F74" s="5"/>
      <c r="G74" s="5"/>
      <c r="H74" s="5"/>
    </row>
    <row r="75" customFormat="false" ht="15" hidden="false" customHeight="true" outlineLevel="0" collapsed="false">
      <c r="C75" s="43"/>
      <c r="D75" s="6"/>
      <c r="F75" s="5"/>
      <c r="G75" s="5"/>
      <c r="H75" s="5"/>
    </row>
    <row r="76" customFormat="false" ht="15" hidden="false" customHeight="true" outlineLevel="0" collapsed="false">
      <c r="C76" s="43"/>
      <c r="D76" s="6"/>
      <c r="F76" s="5"/>
      <c r="G76" s="5"/>
      <c r="H76" s="5"/>
    </row>
    <row r="77" customFormat="false" ht="15" hidden="false" customHeight="true" outlineLevel="0" collapsed="false">
      <c r="C77" s="43"/>
      <c r="D77" s="6"/>
      <c r="F77" s="5"/>
      <c r="G77" s="5"/>
      <c r="H77" s="5"/>
    </row>
    <row r="78" customFormat="false" ht="15" hidden="false" customHeight="true" outlineLevel="0" collapsed="false">
      <c r="C78" s="43"/>
      <c r="D78" s="6"/>
      <c r="F78" s="5"/>
      <c r="G78" s="5"/>
      <c r="H78" s="5"/>
    </row>
    <row r="79" customFormat="false" ht="15" hidden="false" customHeight="true" outlineLevel="0" collapsed="false">
      <c r="C79" s="43"/>
      <c r="D79" s="6"/>
      <c r="F79" s="5"/>
      <c r="G79" s="5"/>
      <c r="H79" s="5"/>
    </row>
    <row r="80" customFormat="false" ht="15" hidden="false" customHeight="true" outlineLevel="0" collapsed="false">
      <c r="C80" s="43"/>
      <c r="D80" s="6"/>
      <c r="F80" s="5"/>
      <c r="G80" s="5"/>
      <c r="H80" s="5"/>
    </row>
    <row r="81" customFormat="false" ht="15" hidden="false" customHeight="true" outlineLevel="0" collapsed="false">
      <c r="C81" s="43"/>
      <c r="D81" s="6"/>
      <c r="F81" s="5"/>
      <c r="G81" s="5"/>
      <c r="H81" s="5"/>
    </row>
    <row r="82" customFormat="false" ht="15" hidden="false" customHeight="true" outlineLevel="0" collapsed="false">
      <c r="C82" s="43"/>
      <c r="D82" s="6"/>
      <c r="F82" s="5"/>
      <c r="G82" s="5"/>
      <c r="H82" s="5"/>
    </row>
    <row r="83" customFormat="false" ht="15" hidden="false" customHeight="true" outlineLevel="0" collapsed="false">
      <c r="C83" s="43"/>
      <c r="D83" s="6"/>
      <c r="F83" s="5"/>
      <c r="G83" s="5"/>
      <c r="H83" s="5"/>
    </row>
    <row r="84" customFormat="false" ht="15" hidden="false" customHeight="true" outlineLevel="0" collapsed="false">
      <c r="C84" s="43"/>
      <c r="D84" s="6"/>
      <c r="F84" s="5"/>
      <c r="G84" s="5"/>
      <c r="H84" s="5"/>
    </row>
    <row r="85" customFormat="false" ht="15" hidden="false" customHeight="true" outlineLevel="0" collapsed="false">
      <c r="C85" s="43"/>
      <c r="D85" s="6"/>
      <c r="F85" s="5"/>
      <c r="G85" s="5"/>
      <c r="H85" s="5"/>
    </row>
    <row r="86" customFormat="false" ht="15" hidden="false" customHeight="true" outlineLevel="0" collapsed="false">
      <c r="C86" s="43"/>
      <c r="D86" s="6"/>
      <c r="F86" s="5"/>
      <c r="G86" s="5"/>
      <c r="H86" s="5"/>
    </row>
    <row r="87" customFormat="false" ht="15" hidden="false" customHeight="true" outlineLevel="0" collapsed="false">
      <c r="C87" s="43"/>
      <c r="D87" s="6"/>
      <c r="F87" s="5"/>
      <c r="G87" s="5"/>
      <c r="H87" s="5"/>
    </row>
    <row r="88" customFormat="false" ht="15" hidden="false" customHeight="true" outlineLevel="0" collapsed="false">
      <c r="C88" s="43"/>
      <c r="D88" s="6"/>
      <c r="F88" s="5"/>
      <c r="G88" s="5"/>
      <c r="H88" s="5"/>
    </row>
    <row r="89" customFormat="false" ht="15" hidden="false" customHeight="true" outlineLevel="0" collapsed="false">
      <c r="C89" s="43"/>
      <c r="D89" s="6"/>
      <c r="F89" s="5"/>
      <c r="G89" s="5"/>
      <c r="H89" s="5"/>
    </row>
    <row r="90" customFormat="false" ht="15" hidden="false" customHeight="true" outlineLevel="0" collapsed="false">
      <c r="C90" s="43"/>
      <c r="D90" s="6"/>
      <c r="F90" s="5"/>
      <c r="G90" s="5"/>
      <c r="H90" s="5"/>
    </row>
    <row r="91" customFormat="false" ht="15" hidden="false" customHeight="true" outlineLevel="0" collapsed="false">
      <c r="C91" s="43"/>
      <c r="D91" s="6"/>
      <c r="F91" s="5"/>
      <c r="G91" s="5"/>
      <c r="H91" s="5"/>
    </row>
    <row r="92" customFormat="false" ht="15" hidden="false" customHeight="true" outlineLevel="0" collapsed="false">
      <c r="C92" s="43"/>
      <c r="D92" s="6"/>
      <c r="F92" s="5"/>
      <c r="G92" s="5"/>
      <c r="H92" s="5"/>
    </row>
    <row r="93" customFormat="false" ht="15" hidden="false" customHeight="true" outlineLevel="0" collapsed="false">
      <c r="C93" s="43"/>
      <c r="D93" s="6"/>
      <c r="F93" s="5"/>
      <c r="G93" s="5"/>
      <c r="H93" s="5"/>
    </row>
    <row r="94" customFormat="false" ht="15" hidden="false" customHeight="true" outlineLevel="0" collapsed="false">
      <c r="C94" s="43"/>
      <c r="D94" s="6"/>
      <c r="F94" s="5"/>
      <c r="G94" s="5"/>
      <c r="H94" s="5"/>
    </row>
    <row r="95" customFormat="false" ht="15" hidden="false" customHeight="true" outlineLevel="0" collapsed="false">
      <c r="C95" s="43"/>
      <c r="D95" s="6"/>
      <c r="F95" s="5"/>
      <c r="G95" s="5"/>
      <c r="H95" s="5"/>
    </row>
    <row r="96" customFormat="false" ht="15" hidden="false" customHeight="true" outlineLevel="0" collapsed="false">
      <c r="C96" s="43"/>
      <c r="D96" s="6"/>
      <c r="F96" s="5"/>
      <c r="G96" s="5"/>
      <c r="H96" s="5"/>
    </row>
    <row r="97" customFormat="false" ht="15" hidden="false" customHeight="true" outlineLevel="0" collapsed="false">
      <c r="C97" s="43"/>
      <c r="D97" s="6"/>
      <c r="F97" s="5"/>
      <c r="G97" s="5"/>
      <c r="H97" s="5"/>
    </row>
    <row r="98" customFormat="false" ht="15" hidden="false" customHeight="true" outlineLevel="0" collapsed="false">
      <c r="C98" s="43"/>
      <c r="D98" s="6"/>
      <c r="F98" s="5"/>
      <c r="G98" s="5"/>
      <c r="H98" s="5"/>
    </row>
    <row r="99" customFormat="false" ht="15" hidden="false" customHeight="true" outlineLevel="0" collapsed="false">
      <c r="C99" s="43"/>
      <c r="D99" s="6"/>
      <c r="F99" s="5"/>
      <c r="G99" s="5"/>
      <c r="H99" s="5"/>
    </row>
    <row r="100" customFormat="false" ht="15" hidden="false" customHeight="true" outlineLevel="0" collapsed="false">
      <c r="C100" s="43"/>
      <c r="D100" s="6"/>
      <c r="F100" s="5"/>
      <c r="G100" s="5"/>
      <c r="H100" s="5"/>
    </row>
    <row r="101" customFormat="false" ht="15" hidden="false" customHeight="true" outlineLevel="0" collapsed="false">
      <c r="C101" s="43"/>
      <c r="D101" s="6"/>
      <c r="F101" s="5"/>
      <c r="G101" s="5"/>
      <c r="H101" s="5"/>
    </row>
    <row r="102" customFormat="false" ht="15" hidden="false" customHeight="true" outlineLevel="0" collapsed="false">
      <c r="C102" s="43"/>
      <c r="D102" s="6"/>
      <c r="F102" s="5"/>
      <c r="G102" s="5"/>
      <c r="H102" s="5"/>
    </row>
    <row r="103" customFormat="false" ht="15" hidden="false" customHeight="true" outlineLevel="0" collapsed="false">
      <c r="C103" s="43"/>
      <c r="D103" s="6"/>
      <c r="F103" s="5"/>
      <c r="G103" s="5"/>
      <c r="H103" s="5"/>
    </row>
    <row r="104" customFormat="false" ht="15" hidden="false" customHeight="true" outlineLevel="0" collapsed="false">
      <c r="C104" s="43"/>
      <c r="D104" s="6"/>
      <c r="F104" s="5"/>
      <c r="G104" s="5"/>
      <c r="H104" s="5"/>
    </row>
    <row r="105" customFormat="false" ht="15" hidden="false" customHeight="true" outlineLevel="0" collapsed="false">
      <c r="C105" s="43"/>
      <c r="D105" s="6"/>
      <c r="F105" s="5"/>
      <c r="G105" s="5"/>
      <c r="H105" s="5"/>
    </row>
    <row r="106" customFormat="false" ht="15" hidden="false" customHeight="true" outlineLevel="0" collapsed="false">
      <c r="C106" s="43"/>
      <c r="D106" s="6"/>
      <c r="F106" s="5"/>
      <c r="G106" s="5"/>
      <c r="H106" s="5"/>
    </row>
    <row r="107" customFormat="false" ht="15" hidden="false" customHeight="true" outlineLevel="0" collapsed="false">
      <c r="C107" s="43"/>
      <c r="D107" s="6"/>
      <c r="F107" s="5"/>
      <c r="G107" s="5"/>
      <c r="H107" s="5"/>
    </row>
    <row r="108" customFormat="false" ht="15" hidden="false" customHeight="true" outlineLevel="0" collapsed="false">
      <c r="C108" s="43"/>
      <c r="D108" s="6"/>
      <c r="F108" s="5"/>
      <c r="G108" s="5"/>
      <c r="H108" s="5"/>
    </row>
    <row r="109" customFormat="false" ht="15" hidden="false" customHeight="true" outlineLevel="0" collapsed="false">
      <c r="C109" s="43"/>
      <c r="D109" s="6"/>
      <c r="F109" s="5"/>
      <c r="G109" s="5"/>
      <c r="H109" s="5"/>
    </row>
    <row r="110" customFormat="false" ht="15" hidden="false" customHeight="true" outlineLevel="0" collapsed="false">
      <c r="C110" s="43"/>
      <c r="D110" s="6"/>
      <c r="F110" s="5"/>
      <c r="G110" s="5"/>
      <c r="H110" s="5"/>
    </row>
    <row r="111" customFormat="false" ht="15" hidden="false" customHeight="true" outlineLevel="0" collapsed="false">
      <c r="C111" s="43"/>
      <c r="D111" s="6"/>
      <c r="F111" s="5"/>
      <c r="G111" s="5"/>
      <c r="H111" s="5"/>
    </row>
    <row r="112" customFormat="false" ht="15" hidden="false" customHeight="true" outlineLevel="0" collapsed="false">
      <c r="C112" s="43"/>
      <c r="D112" s="6"/>
      <c r="F112" s="5"/>
      <c r="G112" s="5"/>
      <c r="H112" s="5"/>
    </row>
    <row r="113" customFormat="false" ht="15" hidden="false" customHeight="true" outlineLevel="0" collapsed="false">
      <c r="C113" s="43"/>
      <c r="D113" s="6"/>
      <c r="F113" s="5"/>
      <c r="G113" s="5"/>
      <c r="H113" s="5"/>
    </row>
    <row r="114" customFormat="false" ht="15" hidden="false" customHeight="true" outlineLevel="0" collapsed="false">
      <c r="C114" s="43"/>
      <c r="D114" s="6"/>
      <c r="F114" s="5"/>
      <c r="G114" s="5"/>
      <c r="H114" s="5"/>
    </row>
    <row r="115" customFormat="false" ht="15" hidden="false" customHeight="true" outlineLevel="0" collapsed="false">
      <c r="C115" s="43"/>
      <c r="D115" s="6"/>
      <c r="F115" s="5"/>
      <c r="G115" s="5"/>
      <c r="H115" s="5"/>
    </row>
    <row r="116" customFormat="false" ht="15" hidden="false" customHeight="true" outlineLevel="0" collapsed="false">
      <c r="C116" s="43"/>
      <c r="D116" s="6"/>
      <c r="F116" s="5"/>
      <c r="G116" s="5"/>
      <c r="H116" s="5"/>
    </row>
    <row r="117" customFormat="false" ht="15" hidden="false" customHeight="true" outlineLevel="0" collapsed="false">
      <c r="C117" s="43"/>
      <c r="D117" s="6"/>
      <c r="F117" s="5"/>
      <c r="G117" s="5"/>
      <c r="H117" s="5"/>
    </row>
    <row r="118" customFormat="false" ht="15" hidden="false" customHeight="true" outlineLevel="0" collapsed="false">
      <c r="C118" s="43"/>
      <c r="D118" s="6"/>
      <c r="F118" s="5"/>
      <c r="G118" s="5"/>
      <c r="H118" s="5"/>
    </row>
    <row r="119" customFormat="false" ht="15" hidden="false" customHeight="true" outlineLevel="0" collapsed="false">
      <c r="C119" s="43"/>
      <c r="D119" s="6"/>
      <c r="F119" s="5"/>
      <c r="G119" s="5"/>
      <c r="H119" s="5"/>
    </row>
    <row r="120" customFormat="false" ht="15" hidden="false" customHeight="true" outlineLevel="0" collapsed="false">
      <c r="C120" s="43"/>
      <c r="D120" s="6"/>
      <c r="F120" s="5"/>
      <c r="G120" s="5"/>
      <c r="H120" s="5"/>
    </row>
    <row r="121" customFormat="false" ht="15" hidden="false" customHeight="true" outlineLevel="0" collapsed="false">
      <c r="C121" s="43"/>
      <c r="D121" s="6"/>
      <c r="F121" s="5"/>
      <c r="G121" s="5"/>
      <c r="H121" s="5"/>
    </row>
    <row r="122" customFormat="false" ht="15" hidden="false" customHeight="true" outlineLevel="0" collapsed="false">
      <c r="C122" s="43"/>
      <c r="D122" s="6"/>
      <c r="F122" s="5"/>
      <c r="G122" s="5"/>
      <c r="H122" s="5"/>
    </row>
    <row r="123" customFormat="false" ht="15" hidden="false" customHeight="true" outlineLevel="0" collapsed="false">
      <c r="C123" s="43"/>
      <c r="D123" s="6"/>
      <c r="F123" s="5"/>
      <c r="G123" s="5"/>
      <c r="H123" s="5"/>
    </row>
    <row r="124" customFormat="false" ht="15" hidden="false" customHeight="true" outlineLevel="0" collapsed="false">
      <c r="C124" s="43"/>
      <c r="D124" s="6"/>
      <c r="F124" s="5"/>
      <c r="G124" s="5"/>
      <c r="H124" s="5"/>
    </row>
    <row r="125" customFormat="false" ht="15" hidden="false" customHeight="true" outlineLevel="0" collapsed="false">
      <c r="C125" s="43"/>
      <c r="D125" s="6"/>
      <c r="F125" s="5"/>
      <c r="G125" s="5"/>
      <c r="H125" s="5"/>
    </row>
    <row r="126" customFormat="false" ht="15" hidden="false" customHeight="true" outlineLevel="0" collapsed="false">
      <c r="C126" s="43"/>
      <c r="D126" s="6"/>
      <c r="F126" s="5"/>
      <c r="G126" s="5"/>
      <c r="H126" s="5"/>
    </row>
    <row r="127" customFormat="false" ht="15" hidden="false" customHeight="true" outlineLevel="0" collapsed="false">
      <c r="C127" s="43"/>
      <c r="D127" s="6"/>
      <c r="F127" s="5"/>
      <c r="G127" s="5"/>
      <c r="H127" s="5"/>
    </row>
    <row r="128" customFormat="false" ht="15" hidden="false" customHeight="true" outlineLevel="0" collapsed="false">
      <c r="C128" s="43"/>
      <c r="D128" s="6"/>
      <c r="F128" s="5"/>
      <c r="G128" s="5"/>
      <c r="H128" s="5"/>
    </row>
    <row r="129" customFormat="false" ht="15" hidden="false" customHeight="true" outlineLevel="0" collapsed="false">
      <c r="C129" s="43"/>
      <c r="D129" s="6"/>
      <c r="F129" s="5"/>
      <c r="G129" s="5"/>
      <c r="H129" s="5"/>
    </row>
    <row r="130" customFormat="false" ht="15" hidden="false" customHeight="true" outlineLevel="0" collapsed="false">
      <c r="C130" s="43"/>
      <c r="D130" s="6"/>
      <c r="F130" s="5"/>
      <c r="G130" s="5"/>
      <c r="H130" s="5"/>
    </row>
    <row r="131" customFormat="false" ht="15" hidden="false" customHeight="true" outlineLevel="0" collapsed="false">
      <c r="C131" s="43"/>
      <c r="D131" s="6"/>
      <c r="F131" s="5"/>
      <c r="G131" s="5"/>
      <c r="H131" s="5"/>
    </row>
    <row r="132" customFormat="false" ht="15" hidden="false" customHeight="true" outlineLevel="0" collapsed="false">
      <c r="C132" s="43"/>
      <c r="D132" s="6"/>
      <c r="F132" s="5"/>
      <c r="G132" s="5"/>
      <c r="H132" s="5"/>
    </row>
    <row r="133" customFormat="false" ht="15" hidden="false" customHeight="true" outlineLevel="0" collapsed="false">
      <c r="C133" s="43"/>
      <c r="D133" s="6"/>
      <c r="F133" s="5"/>
      <c r="G133" s="5"/>
      <c r="H133" s="5"/>
    </row>
    <row r="134" customFormat="false" ht="15" hidden="false" customHeight="true" outlineLevel="0" collapsed="false">
      <c r="C134" s="43"/>
      <c r="D134" s="6"/>
      <c r="F134" s="5"/>
      <c r="G134" s="5"/>
      <c r="H134" s="5"/>
    </row>
    <row r="135" customFormat="false" ht="15" hidden="false" customHeight="true" outlineLevel="0" collapsed="false">
      <c r="C135" s="43"/>
      <c r="D135" s="6"/>
      <c r="F135" s="5"/>
      <c r="G135" s="5"/>
      <c r="H135" s="5"/>
    </row>
    <row r="136" customFormat="false" ht="15" hidden="false" customHeight="true" outlineLevel="0" collapsed="false">
      <c r="C136" s="43"/>
      <c r="D136" s="6"/>
      <c r="F136" s="5"/>
      <c r="G136" s="5"/>
      <c r="H136" s="5"/>
    </row>
    <row r="137" customFormat="false" ht="15" hidden="false" customHeight="true" outlineLevel="0" collapsed="false">
      <c r="C137" s="43"/>
      <c r="D137" s="6"/>
      <c r="F137" s="5"/>
      <c r="G137" s="5"/>
      <c r="H137" s="5"/>
    </row>
    <row r="138" customFormat="false" ht="15" hidden="false" customHeight="true" outlineLevel="0" collapsed="false">
      <c r="C138" s="43"/>
      <c r="D138" s="6"/>
      <c r="F138" s="5"/>
      <c r="G138" s="5"/>
      <c r="H138" s="5"/>
    </row>
    <row r="139" customFormat="false" ht="15" hidden="false" customHeight="true" outlineLevel="0" collapsed="false">
      <c r="C139" s="43"/>
      <c r="D139" s="6"/>
      <c r="F139" s="5"/>
      <c r="G139" s="5"/>
      <c r="H139" s="5"/>
    </row>
    <row r="140" customFormat="false" ht="15" hidden="false" customHeight="true" outlineLevel="0" collapsed="false">
      <c r="C140" s="43"/>
      <c r="D140" s="6"/>
      <c r="F140" s="5"/>
      <c r="G140" s="5"/>
      <c r="H140" s="5"/>
    </row>
    <row r="141" customFormat="false" ht="15" hidden="false" customHeight="true" outlineLevel="0" collapsed="false">
      <c r="C141" s="43"/>
      <c r="D141" s="6"/>
      <c r="F141" s="5"/>
      <c r="G141" s="5"/>
      <c r="H141" s="5"/>
    </row>
    <row r="142" customFormat="false" ht="15" hidden="false" customHeight="true" outlineLevel="0" collapsed="false">
      <c r="C142" s="43"/>
      <c r="D142" s="6"/>
      <c r="F142" s="5"/>
      <c r="G142" s="5"/>
      <c r="H142" s="5"/>
    </row>
    <row r="143" customFormat="false" ht="15" hidden="false" customHeight="true" outlineLevel="0" collapsed="false">
      <c r="C143" s="43"/>
      <c r="D143" s="6"/>
      <c r="F143" s="5"/>
      <c r="G143" s="5"/>
      <c r="H143" s="5"/>
    </row>
    <row r="144" customFormat="false" ht="15" hidden="false" customHeight="true" outlineLevel="0" collapsed="false">
      <c r="C144" s="43"/>
      <c r="D144" s="6"/>
      <c r="F144" s="5"/>
      <c r="G144" s="5"/>
      <c r="H144" s="5"/>
    </row>
    <row r="145" customFormat="false" ht="15" hidden="false" customHeight="true" outlineLevel="0" collapsed="false">
      <c r="C145" s="43"/>
      <c r="D145" s="6"/>
      <c r="F145" s="5"/>
      <c r="G145" s="5"/>
      <c r="H145" s="5"/>
    </row>
    <row r="146" customFormat="false" ht="15" hidden="false" customHeight="true" outlineLevel="0" collapsed="false">
      <c r="C146" s="43"/>
      <c r="D146" s="6"/>
      <c r="F146" s="5"/>
      <c r="G146" s="5"/>
      <c r="H146" s="5"/>
    </row>
    <row r="147" customFormat="false" ht="15" hidden="false" customHeight="true" outlineLevel="0" collapsed="false">
      <c r="C147" s="43"/>
      <c r="D147" s="6"/>
      <c r="F147" s="5"/>
      <c r="G147" s="5"/>
      <c r="H147" s="5"/>
    </row>
    <row r="148" customFormat="false" ht="15" hidden="false" customHeight="true" outlineLevel="0" collapsed="false">
      <c r="C148" s="43"/>
      <c r="D148" s="6"/>
      <c r="F148" s="5"/>
      <c r="G148" s="5"/>
      <c r="H148" s="5"/>
    </row>
    <row r="149" customFormat="false" ht="15" hidden="false" customHeight="true" outlineLevel="0" collapsed="false">
      <c r="C149" s="43"/>
      <c r="D149" s="6"/>
      <c r="F149" s="5"/>
      <c r="G149" s="5"/>
      <c r="H149" s="5"/>
    </row>
    <row r="150" customFormat="false" ht="15" hidden="false" customHeight="true" outlineLevel="0" collapsed="false">
      <c r="C150" s="43"/>
      <c r="D150" s="6"/>
      <c r="F150" s="5"/>
      <c r="G150" s="5"/>
      <c r="H150" s="5"/>
    </row>
    <row r="151" customFormat="false" ht="15" hidden="false" customHeight="true" outlineLevel="0" collapsed="false">
      <c r="C151" s="43"/>
      <c r="D151" s="6"/>
      <c r="F151" s="5"/>
      <c r="G151" s="5"/>
      <c r="H151" s="5"/>
    </row>
    <row r="152" customFormat="false" ht="15" hidden="false" customHeight="true" outlineLevel="0" collapsed="false">
      <c r="C152" s="43"/>
      <c r="D152" s="6"/>
      <c r="F152" s="5"/>
      <c r="G152" s="5"/>
      <c r="H152" s="5"/>
    </row>
    <row r="153" customFormat="false" ht="15" hidden="false" customHeight="true" outlineLevel="0" collapsed="false">
      <c r="C153" s="43"/>
      <c r="D153" s="6"/>
      <c r="F153" s="5"/>
      <c r="G153" s="5"/>
      <c r="H153" s="5"/>
    </row>
    <row r="154" customFormat="false" ht="15" hidden="false" customHeight="true" outlineLevel="0" collapsed="false">
      <c r="C154" s="43"/>
      <c r="D154" s="6"/>
      <c r="F154" s="5"/>
      <c r="G154" s="5"/>
      <c r="H154" s="5"/>
    </row>
    <row r="155" customFormat="false" ht="15" hidden="false" customHeight="true" outlineLevel="0" collapsed="false">
      <c r="C155" s="43"/>
      <c r="D155" s="6"/>
      <c r="F155" s="5"/>
      <c r="G155" s="5"/>
      <c r="H155" s="5"/>
    </row>
    <row r="156" customFormat="false" ht="15" hidden="false" customHeight="true" outlineLevel="0" collapsed="false">
      <c r="C156" s="43"/>
      <c r="D156" s="6"/>
      <c r="F156" s="5"/>
      <c r="G156" s="5"/>
      <c r="H156" s="5"/>
    </row>
    <row r="157" customFormat="false" ht="15" hidden="false" customHeight="true" outlineLevel="0" collapsed="false">
      <c r="C157" s="43"/>
      <c r="D157" s="6"/>
      <c r="F157" s="5"/>
      <c r="G157" s="5"/>
      <c r="H157" s="5"/>
    </row>
    <row r="158" customFormat="false" ht="15" hidden="false" customHeight="true" outlineLevel="0" collapsed="false">
      <c r="C158" s="43"/>
      <c r="D158" s="6"/>
      <c r="F158" s="5"/>
      <c r="G158" s="5"/>
      <c r="H158" s="5"/>
    </row>
    <row r="159" customFormat="false" ht="15" hidden="false" customHeight="true" outlineLevel="0" collapsed="false">
      <c r="C159" s="43"/>
      <c r="D159" s="6"/>
      <c r="F159" s="5"/>
      <c r="G159" s="5"/>
      <c r="H159" s="5"/>
    </row>
    <row r="160" customFormat="false" ht="15" hidden="false" customHeight="true" outlineLevel="0" collapsed="false">
      <c r="C160" s="43"/>
      <c r="D160" s="6"/>
      <c r="F160" s="5"/>
      <c r="G160" s="5"/>
      <c r="H160" s="5"/>
    </row>
    <row r="161" customFormat="false" ht="15" hidden="false" customHeight="true" outlineLevel="0" collapsed="false">
      <c r="C161" s="43"/>
      <c r="D161" s="6"/>
      <c r="F161" s="5"/>
      <c r="G161" s="5"/>
      <c r="H161" s="5"/>
    </row>
    <row r="162" customFormat="false" ht="15" hidden="false" customHeight="true" outlineLevel="0" collapsed="false">
      <c r="C162" s="43"/>
      <c r="D162" s="6"/>
      <c r="F162" s="5"/>
      <c r="G162" s="5"/>
      <c r="H162" s="5"/>
    </row>
    <row r="163" customFormat="false" ht="15" hidden="false" customHeight="true" outlineLevel="0" collapsed="false">
      <c r="C163" s="43"/>
      <c r="D163" s="6"/>
      <c r="F163" s="5"/>
      <c r="G163" s="5"/>
      <c r="H163" s="5"/>
    </row>
    <row r="164" customFormat="false" ht="15" hidden="false" customHeight="true" outlineLevel="0" collapsed="false">
      <c r="C164" s="43"/>
      <c r="D164" s="6"/>
      <c r="F164" s="5"/>
      <c r="G164" s="5"/>
      <c r="H164" s="5"/>
    </row>
    <row r="165" customFormat="false" ht="15" hidden="false" customHeight="true" outlineLevel="0" collapsed="false">
      <c r="C165" s="43"/>
      <c r="D165" s="6"/>
      <c r="F165" s="5"/>
      <c r="G165" s="5"/>
      <c r="H165" s="5"/>
    </row>
    <row r="166" customFormat="false" ht="15" hidden="false" customHeight="true" outlineLevel="0" collapsed="false">
      <c r="C166" s="43"/>
      <c r="D166" s="6"/>
      <c r="F166" s="5"/>
      <c r="G166" s="5"/>
      <c r="H166" s="5"/>
    </row>
    <row r="167" customFormat="false" ht="15" hidden="false" customHeight="true" outlineLevel="0" collapsed="false">
      <c r="C167" s="43"/>
      <c r="D167" s="6"/>
      <c r="F167" s="5"/>
      <c r="G167" s="5"/>
      <c r="H167" s="5"/>
    </row>
    <row r="168" customFormat="false" ht="15" hidden="false" customHeight="true" outlineLevel="0" collapsed="false">
      <c r="C168" s="43"/>
      <c r="D168" s="6"/>
      <c r="F168" s="5"/>
      <c r="G168" s="5"/>
      <c r="H168" s="5"/>
    </row>
    <row r="169" customFormat="false" ht="15" hidden="false" customHeight="true" outlineLevel="0" collapsed="false">
      <c r="C169" s="43"/>
      <c r="D169" s="6"/>
      <c r="F169" s="5"/>
      <c r="G169" s="5"/>
      <c r="H169" s="5"/>
    </row>
    <row r="170" customFormat="false" ht="15" hidden="false" customHeight="true" outlineLevel="0" collapsed="false">
      <c r="C170" s="43"/>
      <c r="D170" s="6"/>
      <c r="F170" s="5"/>
      <c r="G170" s="5"/>
      <c r="H170" s="5"/>
    </row>
    <row r="171" customFormat="false" ht="15" hidden="false" customHeight="true" outlineLevel="0" collapsed="false">
      <c r="C171" s="43"/>
      <c r="D171" s="6"/>
      <c r="F171" s="5"/>
      <c r="G171" s="5"/>
      <c r="H171" s="5"/>
    </row>
    <row r="172" customFormat="false" ht="15" hidden="false" customHeight="true" outlineLevel="0" collapsed="false">
      <c r="C172" s="43"/>
      <c r="D172" s="6"/>
      <c r="F172" s="5"/>
      <c r="G172" s="5"/>
      <c r="H172" s="5"/>
    </row>
    <row r="173" customFormat="false" ht="15" hidden="false" customHeight="true" outlineLevel="0" collapsed="false">
      <c r="C173" s="43"/>
      <c r="D173" s="6"/>
      <c r="F173" s="5"/>
      <c r="G173" s="5"/>
      <c r="H173" s="5"/>
    </row>
    <row r="174" customFormat="false" ht="15" hidden="false" customHeight="true" outlineLevel="0" collapsed="false">
      <c r="C174" s="43"/>
      <c r="D174" s="6"/>
      <c r="F174" s="5"/>
      <c r="G174" s="5"/>
      <c r="H174" s="5"/>
    </row>
    <row r="175" customFormat="false" ht="15" hidden="false" customHeight="true" outlineLevel="0" collapsed="false">
      <c r="C175" s="43"/>
      <c r="D175" s="6"/>
      <c r="F175" s="5"/>
      <c r="G175" s="5"/>
      <c r="H175" s="5"/>
    </row>
    <row r="176" customFormat="false" ht="15" hidden="false" customHeight="true" outlineLevel="0" collapsed="false">
      <c r="C176" s="43"/>
      <c r="D176" s="6"/>
      <c r="F176" s="5"/>
      <c r="G176" s="5"/>
      <c r="H176" s="5"/>
    </row>
    <row r="177" customFormat="false" ht="15" hidden="false" customHeight="true" outlineLevel="0" collapsed="false">
      <c r="C177" s="43"/>
      <c r="D177" s="6"/>
      <c r="F177" s="5"/>
      <c r="G177" s="5"/>
      <c r="H177" s="5"/>
    </row>
    <row r="178" customFormat="false" ht="15" hidden="false" customHeight="true" outlineLevel="0" collapsed="false">
      <c r="C178" s="43"/>
      <c r="D178" s="6"/>
      <c r="F178" s="5"/>
      <c r="G178" s="5"/>
      <c r="H178" s="5"/>
    </row>
    <row r="179" customFormat="false" ht="15" hidden="false" customHeight="true" outlineLevel="0" collapsed="false">
      <c r="C179" s="43"/>
      <c r="D179" s="6"/>
      <c r="F179" s="5"/>
      <c r="G179" s="5"/>
      <c r="H179" s="5"/>
    </row>
    <row r="180" customFormat="false" ht="15" hidden="false" customHeight="true" outlineLevel="0" collapsed="false">
      <c r="C180" s="43"/>
      <c r="D180" s="6"/>
      <c r="F180" s="5"/>
      <c r="G180" s="5"/>
      <c r="H180" s="5"/>
    </row>
    <row r="181" customFormat="false" ht="15" hidden="false" customHeight="true" outlineLevel="0" collapsed="false">
      <c r="C181" s="43"/>
      <c r="D181" s="6"/>
      <c r="F181" s="5"/>
      <c r="G181" s="5"/>
      <c r="H181" s="5"/>
    </row>
    <row r="182" customFormat="false" ht="15" hidden="false" customHeight="true" outlineLevel="0" collapsed="false">
      <c r="C182" s="43"/>
      <c r="D182" s="6"/>
      <c r="F182" s="5"/>
      <c r="G182" s="5"/>
      <c r="H182" s="5"/>
    </row>
    <row r="183" customFormat="false" ht="15" hidden="false" customHeight="true" outlineLevel="0" collapsed="false">
      <c r="C183" s="43"/>
      <c r="D183" s="6"/>
      <c r="F183" s="5"/>
      <c r="G183" s="5"/>
      <c r="H183" s="5"/>
    </row>
    <row r="184" customFormat="false" ht="15" hidden="false" customHeight="true" outlineLevel="0" collapsed="false">
      <c r="C184" s="43"/>
      <c r="D184" s="6"/>
      <c r="F184" s="5"/>
      <c r="G184" s="5"/>
      <c r="H184" s="5"/>
    </row>
    <row r="185" customFormat="false" ht="15" hidden="false" customHeight="true" outlineLevel="0" collapsed="false">
      <c r="C185" s="43"/>
      <c r="D185" s="6"/>
      <c r="F185" s="5"/>
      <c r="G185" s="5"/>
      <c r="H185" s="5"/>
    </row>
    <row r="186" customFormat="false" ht="15" hidden="false" customHeight="true" outlineLevel="0" collapsed="false">
      <c r="C186" s="43"/>
      <c r="D186" s="6"/>
      <c r="F186" s="5"/>
      <c r="G186" s="5"/>
      <c r="H186" s="5"/>
    </row>
    <row r="187" customFormat="false" ht="15" hidden="false" customHeight="true" outlineLevel="0" collapsed="false">
      <c r="C187" s="43"/>
      <c r="D187" s="6"/>
      <c r="F187" s="5"/>
      <c r="G187" s="5"/>
      <c r="H187" s="5"/>
    </row>
    <row r="188" customFormat="false" ht="15" hidden="false" customHeight="true" outlineLevel="0" collapsed="false">
      <c r="C188" s="43"/>
      <c r="D188" s="6"/>
      <c r="F188" s="5"/>
      <c r="G188" s="5"/>
      <c r="H188" s="5"/>
    </row>
    <row r="189" customFormat="false" ht="15" hidden="false" customHeight="true" outlineLevel="0" collapsed="false">
      <c r="C189" s="43"/>
      <c r="D189" s="6"/>
      <c r="F189" s="5"/>
      <c r="G189" s="5"/>
      <c r="H189" s="5"/>
    </row>
    <row r="190" customFormat="false" ht="15" hidden="false" customHeight="true" outlineLevel="0" collapsed="false">
      <c r="C190" s="43"/>
      <c r="D190" s="6"/>
      <c r="F190" s="5"/>
      <c r="G190" s="5"/>
      <c r="H190" s="5"/>
    </row>
    <row r="191" customFormat="false" ht="15" hidden="false" customHeight="true" outlineLevel="0" collapsed="false">
      <c r="C191" s="43"/>
      <c r="D191" s="6"/>
      <c r="F191" s="5"/>
      <c r="G191" s="5"/>
      <c r="H191" s="5"/>
    </row>
    <row r="192" customFormat="false" ht="15" hidden="false" customHeight="true" outlineLevel="0" collapsed="false">
      <c r="C192" s="43"/>
      <c r="D192" s="6"/>
      <c r="F192" s="5"/>
      <c r="G192" s="5"/>
      <c r="H192" s="5"/>
    </row>
    <row r="193" customFormat="false" ht="15" hidden="false" customHeight="true" outlineLevel="0" collapsed="false">
      <c r="C193" s="43"/>
      <c r="D193" s="6"/>
      <c r="F193" s="5"/>
      <c r="G193" s="5"/>
      <c r="H193" s="5"/>
    </row>
    <row r="194" customFormat="false" ht="15" hidden="false" customHeight="true" outlineLevel="0" collapsed="false">
      <c r="C194" s="43"/>
      <c r="D194" s="6"/>
      <c r="F194" s="5"/>
      <c r="G194" s="5"/>
      <c r="H194" s="5"/>
    </row>
    <row r="195" customFormat="false" ht="15" hidden="false" customHeight="true" outlineLevel="0" collapsed="false">
      <c r="C195" s="43"/>
      <c r="D195" s="6"/>
      <c r="F195" s="5"/>
      <c r="G195" s="5"/>
      <c r="H195" s="5"/>
    </row>
    <row r="196" customFormat="false" ht="15" hidden="false" customHeight="true" outlineLevel="0" collapsed="false">
      <c r="C196" s="43"/>
      <c r="D196" s="6"/>
      <c r="F196" s="5"/>
      <c r="G196" s="5"/>
      <c r="H196" s="5"/>
    </row>
    <row r="197" customFormat="false" ht="15" hidden="false" customHeight="true" outlineLevel="0" collapsed="false">
      <c r="C197" s="43"/>
      <c r="D197" s="6"/>
      <c r="F197" s="5"/>
      <c r="G197" s="5"/>
      <c r="H197" s="5"/>
    </row>
    <row r="198" customFormat="false" ht="15" hidden="false" customHeight="true" outlineLevel="0" collapsed="false">
      <c r="C198" s="43"/>
      <c r="D198" s="6"/>
      <c r="F198" s="5"/>
      <c r="G198" s="5"/>
      <c r="H198" s="5"/>
    </row>
    <row r="199" customFormat="false" ht="15" hidden="false" customHeight="true" outlineLevel="0" collapsed="false">
      <c r="C199" s="43"/>
      <c r="D199" s="6"/>
      <c r="F199" s="5"/>
      <c r="G199" s="5"/>
      <c r="H199" s="5"/>
    </row>
    <row r="200" customFormat="false" ht="15" hidden="false" customHeight="true" outlineLevel="0" collapsed="false">
      <c r="C200" s="43"/>
      <c r="D200" s="6"/>
      <c r="F200" s="5"/>
      <c r="G200" s="5"/>
      <c r="H200" s="5"/>
    </row>
    <row r="201" customFormat="false" ht="15" hidden="false" customHeight="true" outlineLevel="0" collapsed="false">
      <c r="C201" s="43"/>
      <c r="D201" s="6"/>
      <c r="F201" s="5"/>
      <c r="G201" s="5"/>
      <c r="H201" s="5"/>
    </row>
    <row r="202" customFormat="false" ht="15" hidden="false" customHeight="true" outlineLevel="0" collapsed="false">
      <c r="C202" s="43"/>
      <c r="D202" s="6"/>
      <c r="F202" s="5"/>
      <c r="G202" s="5"/>
      <c r="H202" s="5"/>
    </row>
    <row r="203" customFormat="false" ht="15" hidden="false" customHeight="true" outlineLevel="0" collapsed="false">
      <c r="C203" s="43"/>
      <c r="D203" s="6"/>
      <c r="F203" s="5"/>
      <c r="G203" s="5"/>
      <c r="H203" s="5"/>
    </row>
    <row r="204" customFormat="false" ht="15" hidden="false" customHeight="true" outlineLevel="0" collapsed="false">
      <c r="C204" s="43"/>
      <c r="D204" s="6"/>
      <c r="F204" s="5"/>
      <c r="G204" s="5"/>
      <c r="H204" s="5"/>
    </row>
    <row r="205" customFormat="false" ht="15" hidden="false" customHeight="true" outlineLevel="0" collapsed="false">
      <c r="C205" s="43"/>
      <c r="D205" s="6"/>
      <c r="F205" s="5"/>
      <c r="G205" s="5"/>
      <c r="H205" s="5"/>
    </row>
    <row r="206" customFormat="false" ht="15" hidden="false" customHeight="true" outlineLevel="0" collapsed="false">
      <c r="C206" s="43"/>
      <c r="D206" s="6"/>
      <c r="F206" s="5"/>
      <c r="G206" s="5"/>
      <c r="H206" s="5"/>
    </row>
    <row r="207" customFormat="false" ht="15" hidden="false" customHeight="true" outlineLevel="0" collapsed="false">
      <c r="C207" s="43"/>
      <c r="D207" s="6"/>
      <c r="F207" s="5"/>
      <c r="G207" s="5"/>
      <c r="H207" s="5"/>
    </row>
    <row r="208" customFormat="false" ht="15" hidden="false" customHeight="true" outlineLevel="0" collapsed="false">
      <c r="C208" s="43"/>
      <c r="D208" s="6"/>
      <c r="F208" s="5"/>
      <c r="G208" s="5"/>
      <c r="H208" s="5"/>
    </row>
    <row r="209" customFormat="false" ht="15" hidden="false" customHeight="true" outlineLevel="0" collapsed="false">
      <c r="C209" s="43"/>
      <c r="D209" s="6"/>
      <c r="F209" s="5"/>
      <c r="G209" s="5"/>
      <c r="H209" s="5"/>
    </row>
    <row r="210" customFormat="false" ht="15" hidden="false" customHeight="true" outlineLevel="0" collapsed="false">
      <c r="C210" s="43"/>
      <c r="D210" s="6"/>
      <c r="F210" s="5"/>
      <c r="G210" s="5"/>
      <c r="H210" s="5"/>
    </row>
    <row r="211" customFormat="false" ht="15" hidden="false" customHeight="true" outlineLevel="0" collapsed="false">
      <c r="C211" s="43"/>
      <c r="D211" s="6"/>
      <c r="F211" s="5"/>
      <c r="G211" s="5"/>
      <c r="H211" s="5"/>
    </row>
    <row r="212" customFormat="false" ht="15" hidden="false" customHeight="true" outlineLevel="0" collapsed="false">
      <c r="C212" s="43"/>
      <c r="D212" s="6"/>
      <c r="F212" s="5"/>
      <c r="G212" s="5"/>
      <c r="H212" s="5"/>
    </row>
    <row r="213" customFormat="false" ht="15" hidden="false" customHeight="true" outlineLevel="0" collapsed="false">
      <c r="C213" s="43"/>
      <c r="D213" s="6"/>
      <c r="F213" s="5"/>
      <c r="G213" s="5"/>
      <c r="H213" s="5"/>
    </row>
    <row r="214" customFormat="false" ht="15" hidden="false" customHeight="true" outlineLevel="0" collapsed="false">
      <c r="C214" s="43"/>
      <c r="D214" s="6"/>
      <c r="F214" s="5"/>
      <c r="G214" s="5"/>
      <c r="H214" s="5"/>
    </row>
    <row r="215" customFormat="false" ht="15" hidden="false" customHeight="true" outlineLevel="0" collapsed="false">
      <c r="C215" s="43"/>
      <c r="D215" s="6"/>
      <c r="F215" s="5"/>
      <c r="G215" s="5"/>
      <c r="H215" s="5"/>
    </row>
    <row r="216" customFormat="false" ht="15" hidden="false" customHeight="true" outlineLevel="0" collapsed="false">
      <c r="C216" s="43"/>
      <c r="D216" s="6"/>
      <c r="F216" s="5"/>
      <c r="G216" s="5"/>
      <c r="H216" s="5"/>
    </row>
    <row r="217" customFormat="false" ht="15" hidden="false" customHeight="true" outlineLevel="0" collapsed="false">
      <c r="C217" s="43"/>
      <c r="D217" s="6"/>
      <c r="F217" s="5"/>
      <c r="G217" s="5"/>
      <c r="H217" s="5"/>
    </row>
    <row r="218" customFormat="false" ht="15" hidden="false" customHeight="true" outlineLevel="0" collapsed="false">
      <c r="C218" s="43"/>
      <c r="D218" s="6"/>
      <c r="F218" s="5"/>
      <c r="G218" s="5"/>
      <c r="H218" s="5"/>
    </row>
    <row r="219" customFormat="false" ht="15" hidden="false" customHeight="true" outlineLevel="0" collapsed="false">
      <c r="C219" s="43"/>
      <c r="D219" s="6"/>
      <c r="F219" s="5"/>
      <c r="G219" s="5"/>
      <c r="H219" s="5"/>
    </row>
    <row r="220" customFormat="false" ht="15" hidden="false" customHeight="true" outlineLevel="0" collapsed="false">
      <c r="C220" s="43"/>
      <c r="D220" s="6"/>
      <c r="F220" s="5"/>
      <c r="G220" s="5"/>
      <c r="H220" s="5"/>
    </row>
    <row r="221" customFormat="false" ht="15" hidden="false" customHeight="true" outlineLevel="0" collapsed="false">
      <c r="C221" s="43"/>
      <c r="D221" s="6"/>
      <c r="F221" s="5"/>
      <c r="G221" s="5"/>
      <c r="H221" s="5"/>
    </row>
    <row r="222" customFormat="false" ht="15" hidden="false" customHeight="true" outlineLevel="0" collapsed="false">
      <c r="C222" s="43"/>
      <c r="D222" s="6"/>
      <c r="F222" s="5"/>
      <c r="G222" s="5"/>
      <c r="H222" s="5"/>
    </row>
    <row r="223" customFormat="false" ht="15" hidden="false" customHeight="true" outlineLevel="0" collapsed="false">
      <c r="C223" s="43"/>
      <c r="D223" s="6"/>
      <c r="F223" s="5"/>
      <c r="G223" s="5"/>
      <c r="H223" s="5"/>
    </row>
    <row r="224" customFormat="false" ht="15" hidden="false" customHeight="true" outlineLevel="0" collapsed="false">
      <c r="C224" s="43"/>
      <c r="D224" s="6"/>
      <c r="F224" s="5"/>
      <c r="G224" s="5"/>
      <c r="H224" s="5"/>
    </row>
    <row r="225" customFormat="false" ht="15" hidden="false" customHeight="true" outlineLevel="0" collapsed="false">
      <c r="C225" s="43"/>
      <c r="D225" s="6"/>
      <c r="F225" s="5"/>
      <c r="G225" s="5"/>
      <c r="H225" s="5"/>
    </row>
    <row r="226" customFormat="false" ht="15" hidden="false" customHeight="true" outlineLevel="0" collapsed="false">
      <c r="C226" s="43"/>
      <c r="D226" s="6"/>
      <c r="F226" s="5"/>
      <c r="G226" s="5"/>
      <c r="H226" s="5"/>
    </row>
    <row r="227" customFormat="false" ht="15" hidden="false" customHeight="true" outlineLevel="0" collapsed="false">
      <c r="C227" s="43"/>
      <c r="D227" s="6"/>
      <c r="F227" s="5"/>
      <c r="G227" s="5"/>
      <c r="H227" s="5"/>
    </row>
    <row r="228" customFormat="false" ht="15" hidden="false" customHeight="true" outlineLevel="0" collapsed="false">
      <c r="C228" s="43"/>
      <c r="D228" s="6"/>
      <c r="F228" s="5"/>
      <c r="G228" s="5"/>
      <c r="H228" s="5"/>
    </row>
    <row r="229" customFormat="false" ht="15" hidden="false" customHeight="true" outlineLevel="0" collapsed="false">
      <c r="C229" s="43"/>
      <c r="D229" s="6"/>
      <c r="F229" s="5"/>
      <c r="G229" s="5"/>
      <c r="H229" s="5"/>
    </row>
    <row r="230" customFormat="false" ht="15" hidden="false" customHeight="true" outlineLevel="0" collapsed="false">
      <c r="C230" s="43"/>
      <c r="D230" s="6"/>
      <c r="F230" s="5"/>
      <c r="G230" s="5"/>
      <c r="H230" s="5"/>
    </row>
    <row r="231" customFormat="false" ht="15" hidden="false" customHeight="true" outlineLevel="0" collapsed="false">
      <c r="C231" s="43"/>
      <c r="D231" s="6"/>
      <c r="F231" s="5"/>
      <c r="G231" s="5"/>
      <c r="H231" s="5"/>
    </row>
    <row r="232" customFormat="false" ht="15" hidden="false" customHeight="true" outlineLevel="0" collapsed="false">
      <c r="C232" s="43"/>
      <c r="D232" s="6"/>
      <c r="F232" s="5"/>
      <c r="G232" s="5"/>
      <c r="H232" s="5"/>
    </row>
    <row r="233" customFormat="false" ht="15" hidden="false" customHeight="true" outlineLevel="0" collapsed="false">
      <c r="C233" s="43"/>
      <c r="D233" s="6"/>
      <c r="F233" s="5"/>
      <c r="G233" s="5"/>
      <c r="H233" s="5"/>
    </row>
    <row r="234" customFormat="false" ht="15" hidden="false" customHeight="true" outlineLevel="0" collapsed="false">
      <c r="C234" s="43"/>
      <c r="D234" s="6"/>
      <c r="F234" s="5"/>
      <c r="G234" s="5"/>
      <c r="H234" s="5"/>
    </row>
    <row r="235" customFormat="false" ht="15" hidden="false" customHeight="true" outlineLevel="0" collapsed="false">
      <c r="C235" s="43"/>
      <c r="D235" s="6"/>
      <c r="F235" s="5"/>
      <c r="G235" s="5"/>
      <c r="H235" s="5"/>
    </row>
    <row r="236" customFormat="false" ht="15" hidden="false" customHeight="true" outlineLevel="0" collapsed="false">
      <c r="C236" s="43"/>
      <c r="D236" s="6"/>
      <c r="F236" s="5"/>
      <c r="G236" s="5"/>
      <c r="H236" s="5"/>
    </row>
    <row r="237" customFormat="false" ht="15" hidden="false" customHeight="true" outlineLevel="0" collapsed="false">
      <c r="C237" s="43"/>
      <c r="D237" s="6"/>
      <c r="F237" s="5"/>
      <c r="G237" s="5"/>
      <c r="H237" s="5"/>
    </row>
    <row r="238" customFormat="false" ht="15" hidden="false" customHeight="true" outlineLevel="0" collapsed="false">
      <c r="C238" s="43"/>
      <c r="D238" s="6"/>
      <c r="F238" s="5"/>
      <c r="G238" s="5"/>
      <c r="H238" s="5"/>
    </row>
    <row r="239" customFormat="false" ht="15" hidden="false" customHeight="true" outlineLevel="0" collapsed="false">
      <c r="C239" s="43"/>
      <c r="D239" s="6"/>
      <c r="F239" s="5"/>
      <c r="G239" s="5"/>
      <c r="H239" s="5"/>
    </row>
    <row r="240" customFormat="false" ht="15" hidden="false" customHeight="true" outlineLevel="0" collapsed="false">
      <c r="C240" s="43"/>
      <c r="D240" s="6"/>
      <c r="F240" s="5"/>
      <c r="G240" s="5"/>
      <c r="H240" s="5"/>
    </row>
    <row r="241" customFormat="false" ht="15" hidden="false" customHeight="true" outlineLevel="0" collapsed="false">
      <c r="C241" s="43"/>
      <c r="D241" s="6"/>
      <c r="F241" s="5"/>
      <c r="G241" s="5"/>
      <c r="H241" s="5"/>
    </row>
    <row r="242" customFormat="false" ht="15" hidden="false" customHeight="true" outlineLevel="0" collapsed="false">
      <c r="C242" s="43"/>
      <c r="D242" s="6"/>
      <c r="F242" s="5"/>
      <c r="G242" s="5"/>
      <c r="H242" s="5"/>
    </row>
    <row r="243" customFormat="false" ht="15" hidden="false" customHeight="true" outlineLevel="0" collapsed="false">
      <c r="C243" s="43"/>
      <c r="D243" s="6"/>
      <c r="F243" s="5"/>
      <c r="G243" s="5"/>
      <c r="H243" s="5"/>
    </row>
    <row r="244" customFormat="false" ht="15" hidden="false" customHeight="true" outlineLevel="0" collapsed="false">
      <c r="C244" s="43"/>
      <c r="D244" s="6"/>
      <c r="F244" s="5"/>
      <c r="G244" s="5"/>
      <c r="H244" s="5"/>
    </row>
    <row r="245" customFormat="false" ht="15" hidden="false" customHeight="true" outlineLevel="0" collapsed="false">
      <c r="C245" s="43"/>
      <c r="D245" s="6"/>
      <c r="F245" s="5"/>
      <c r="G245" s="5"/>
      <c r="H245" s="5"/>
    </row>
    <row r="246" customFormat="false" ht="15" hidden="false" customHeight="true" outlineLevel="0" collapsed="false">
      <c r="C246" s="43"/>
      <c r="D246" s="6"/>
      <c r="F246" s="5"/>
      <c r="G246" s="5"/>
      <c r="H246" s="5"/>
    </row>
    <row r="247" customFormat="false" ht="15" hidden="false" customHeight="true" outlineLevel="0" collapsed="false">
      <c r="C247" s="43"/>
      <c r="D247" s="6"/>
      <c r="F247" s="5"/>
      <c r="G247" s="5"/>
      <c r="H247" s="5"/>
    </row>
    <row r="248" customFormat="false" ht="15" hidden="false" customHeight="true" outlineLevel="0" collapsed="false">
      <c r="C248" s="43"/>
      <c r="D248" s="6"/>
      <c r="F248" s="5"/>
      <c r="G248" s="5"/>
      <c r="H248" s="5"/>
    </row>
    <row r="249" customFormat="false" ht="15" hidden="false" customHeight="true" outlineLevel="0" collapsed="false">
      <c r="C249" s="43"/>
      <c r="D249" s="6"/>
      <c r="F249" s="5"/>
      <c r="G249" s="5"/>
      <c r="H249" s="5"/>
    </row>
    <row r="250" customFormat="false" ht="15" hidden="false" customHeight="true" outlineLevel="0" collapsed="false">
      <c r="C250" s="43"/>
      <c r="D250" s="6"/>
      <c r="F250" s="5"/>
      <c r="G250" s="5"/>
      <c r="H250" s="5"/>
    </row>
    <row r="251" customFormat="false" ht="15" hidden="false" customHeight="true" outlineLevel="0" collapsed="false">
      <c r="C251" s="43"/>
      <c r="D251" s="6"/>
      <c r="F251" s="5"/>
      <c r="G251" s="5"/>
      <c r="H251" s="5"/>
    </row>
    <row r="252" customFormat="false" ht="15" hidden="false" customHeight="true" outlineLevel="0" collapsed="false">
      <c r="C252" s="43"/>
      <c r="D252" s="6"/>
      <c r="F252" s="5"/>
      <c r="G252" s="5"/>
      <c r="H252" s="5"/>
    </row>
    <row r="253" customFormat="false" ht="15" hidden="false" customHeight="true" outlineLevel="0" collapsed="false">
      <c r="C253" s="43"/>
      <c r="D253" s="6"/>
      <c r="F253" s="5"/>
      <c r="G253" s="5"/>
      <c r="H253" s="5"/>
    </row>
    <row r="254" customFormat="false" ht="15" hidden="false" customHeight="true" outlineLevel="0" collapsed="false">
      <c r="C254" s="43"/>
      <c r="D254" s="6"/>
      <c r="F254" s="5"/>
      <c r="G254" s="5"/>
      <c r="H254" s="5"/>
    </row>
    <row r="255" customFormat="false" ht="15" hidden="false" customHeight="true" outlineLevel="0" collapsed="false">
      <c r="C255" s="43"/>
      <c r="D255" s="6"/>
      <c r="F255" s="5"/>
      <c r="G255" s="5"/>
      <c r="H255" s="5"/>
    </row>
    <row r="256" customFormat="false" ht="15" hidden="false" customHeight="true" outlineLevel="0" collapsed="false">
      <c r="C256" s="43"/>
      <c r="D256" s="6"/>
      <c r="F256" s="5"/>
      <c r="G256" s="5"/>
      <c r="H256" s="5"/>
    </row>
    <row r="257" customFormat="false" ht="15" hidden="false" customHeight="true" outlineLevel="0" collapsed="false">
      <c r="C257" s="43"/>
      <c r="D257" s="6"/>
      <c r="F257" s="5"/>
      <c r="G257" s="5"/>
      <c r="H257" s="5"/>
    </row>
    <row r="258" customFormat="false" ht="15" hidden="false" customHeight="true" outlineLevel="0" collapsed="false">
      <c r="C258" s="43"/>
      <c r="D258" s="6"/>
      <c r="F258" s="5"/>
      <c r="G258" s="5"/>
      <c r="H258" s="5"/>
    </row>
    <row r="259" customFormat="false" ht="15" hidden="false" customHeight="true" outlineLevel="0" collapsed="false">
      <c r="C259" s="43"/>
      <c r="D259" s="6"/>
      <c r="F259" s="5"/>
      <c r="G259" s="5"/>
      <c r="H259" s="5"/>
    </row>
    <row r="260" customFormat="false" ht="15" hidden="false" customHeight="true" outlineLevel="0" collapsed="false">
      <c r="C260" s="43"/>
      <c r="D260" s="6"/>
      <c r="F260" s="5"/>
      <c r="G260" s="5"/>
      <c r="H260" s="5"/>
    </row>
    <row r="261" customFormat="false" ht="15" hidden="false" customHeight="true" outlineLevel="0" collapsed="false">
      <c r="C261" s="43"/>
      <c r="D261" s="6"/>
      <c r="F261" s="5"/>
      <c r="G261" s="5"/>
      <c r="H261" s="5"/>
    </row>
    <row r="262" customFormat="false" ht="15" hidden="false" customHeight="true" outlineLevel="0" collapsed="false">
      <c r="C262" s="43"/>
      <c r="D262" s="6"/>
      <c r="F262" s="5"/>
      <c r="G262" s="5"/>
      <c r="H262" s="5"/>
    </row>
    <row r="263" customFormat="false" ht="15" hidden="false" customHeight="true" outlineLevel="0" collapsed="false">
      <c r="C263" s="43"/>
      <c r="D263" s="6"/>
      <c r="F263" s="5"/>
      <c r="G263" s="5"/>
      <c r="H263" s="5"/>
    </row>
    <row r="264" customFormat="false" ht="15" hidden="false" customHeight="true" outlineLevel="0" collapsed="false">
      <c r="C264" s="43"/>
      <c r="D264" s="6"/>
      <c r="F264" s="5"/>
      <c r="G264" s="5"/>
      <c r="H264" s="5"/>
    </row>
    <row r="265" customFormat="false" ht="15" hidden="false" customHeight="true" outlineLevel="0" collapsed="false">
      <c r="C265" s="43"/>
      <c r="D265" s="6"/>
      <c r="F265" s="5"/>
      <c r="G265" s="5"/>
      <c r="H265" s="5"/>
    </row>
    <row r="266" customFormat="false" ht="15" hidden="false" customHeight="true" outlineLevel="0" collapsed="false">
      <c r="C266" s="43"/>
      <c r="D266" s="6"/>
      <c r="F266" s="5"/>
      <c r="G266" s="5"/>
      <c r="H266" s="5"/>
    </row>
    <row r="267" customFormat="false" ht="15" hidden="false" customHeight="true" outlineLevel="0" collapsed="false">
      <c r="C267" s="43"/>
      <c r="D267" s="6"/>
      <c r="F267" s="5"/>
      <c r="G267" s="5"/>
      <c r="H267" s="5"/>
    </row>
    <row r="268" customFormat="false" ht="15" hidden="false" customHeight="true" outlineLevel="0" collapsed="false">
      <c r="C268" s="43"/>
      <c r="D268" s="6"/>
      <c r="F268" s="5"/>
      <c r="G268" s="5"/>
      <c r="H268" s="5"/>
    </row>
    <row r="269" customFormat="false" ht="15" hidden="false" customHeight="true" outlineLevel="0" collapsed="false">
      <c r="C269" s="43"/>
      <c r="D269" s="6"/>
      <c r="F269" s="5"/>
      <c r="G269" s="5"/>
      <c r="H269" s="5"/>
    </row>
    <row r="270" customFormat="false" ht="15" hidden="false" customHeight="true" outlineLevel="0" collapsed="false">
      <c r="C270" s="43"/>
      <c r="D270" s="6"/>
      <c r="F270" s="5"/>
      <c r="G270" s="5"/>
      <c r="H270" s="5"/>
    </row>
    <row r="271" customFormat="false" ht="15" hidden="false" customHeight="true" outlineLevel="0" collapsed="false">
      <c r="C271" s="43"/>
      <c r="D271" s="6"/>
      <c r="F271" s="5"/>
      <c r="G271" s="5"/>
      <c r="H271" s="5"/>
    </row>
    <row r="272" customFormat="false" ht="15" hidden="false" customHeight="true" outlineLevel="0" collapsed="false">
      <c r="C272" s="43"/>
      <c r="D272" s="6"/>
      <c r="F272" s="5"/>
      <c r="G272" s="5"/>
      <c r="H272" s="5"/>
    </row>
    <row r="273" customFormat="false" ht="15" hidden="false" customHeight="true" outlineLevel="0" collapsed="false">
      <c r="C273" s="43"/>
      <c r="D273" s="6"/>
      <c r="F273" s="5"/>
      <c r="G273" s="5"/>
      <c r="H273" s="5"/>
    </row>
    <row r="274" customFormat="false" ht="15" hidden="false" customHeight="true" outlineLevel="0" collapsed="false">
      <c r="C274" s="43"/>
      <c r="D274" s="6"/>
      <c r="F274" s="5"/>
      <c r="G274" s="5"/>
      <c r="H274" s="5"/>
    </row>
    <row r="275" customFormat="false" ht="15" hidden="false" customHeight="true" outlineLevel="0" collapsed="false">
      <c r="C275" s="43"/>
      <c r="D275" s="6"/>
      <c r="F275" s="5"/>
      <c r="G275" s="5"/>
      <c r="H275" s="5"/>
    </row>
    <row r="276" customFormat="false" ht="15" hidden="false" customHeight="true" outlineLevel="0" collapsed="false">
      <c r="C276" s="43"/>
      <c r="D276" s="6"/>
      <c r="F276" s="5"/>
      <c r="G276" s="5"/>
      <c r="H276" s="5"/>
    </row>
    <row r="277" customFormat="false" ht="15" hidden="false" customHeight="true" outlineLevel="0" collapsed="false">
      <c r="C277" s="43"/>
      <c r="D277" s="6"/>
      <c r="F277" s="5"/>
      <c r="G277" s="5"/>
      <c r="H277" s="5"/>
    </row>
    <row r="278" customFormat="false" ht="15" hidden="false" customHeight="true" outlineLevel="0" collapsed="false">
      <c r="C278" s="43"/>
      <c r="D278" s="6"/>
      <c r="F278" s="5"/>
      <c r="G278" s="5"/>
      <c r="H278" s="5"/>
    </row>
    <row r="279" customFormat="false" ht="15" hidden="false" customHeight="true" outlineLevel="0" collapsed="false">
      <c r="C279" s="43"/>
      <c r="D279" s="6"/>
      <c r="F279" s="5"/>
      <c r="G279" s="5"/>
      <c r="H279" s="5"/>
    </row>
    <row r="280" customFormat="false" ht="15" hidden="false" customHeight="true" outlineLevel="0" collapsed="false">
      <c r="C280" s="43"/>
      <c r="D280" s="6"/>
      <c r="F280" s="5"/>
      <c r="G280" s="5"/>
      <c r="H280" s="5"/>
    </row>
    <row r="281" customFormat="false" ht="15" hidden="false" customHeight="true" outlineLevel="0" collapsed="false">
      <c r="C281" s="43"/>
      <c r="D281" s="6"/>
      <c r="F281" s="5"/>
      <c r="G281" s="5"/>
      <c r="H281" s="5"/>
    </row>
    <row r="282" customFormat="false" ht="15" hidden="false" customHeight="true" outlineLevel="0" collapsed="false">
      <c r="C282" s="43"/>
      <c r="D282" s="6"/>
      <c r="F282" s="5"/>
      <c r="G282" s="5"/>
      <c r="H282" s="5"/>
    </row>
    <row r="283" customFormat="false" ht="15" hidden="false" customHeight="true" outlineLevel="0" collapsed="false">
      <c r="C283" s="43"/>
      <c r="D283" s="6"/>
      <c r="F283" s="5"/>
      <c r="G283" s="5"/>
      <c r="H283" s="5"/>
    </row>
    <row r="284" customFormat="false" ht="15" hidden="false" customHeight="true" outlineLevel="0" collapsed="false">
      <c r="C284" s="43"/>
      <c r="D284" s="6"/>
      <c r="F284" s="5"/>
      <c r="G284" s="5"/>
      <c r="H284" s="5"/>
    </row>
    <row r="285" customFormat="false" ht="15" hidden="false" customHeight="true" outlineLevel="0" collapsed="false">
      <c r="C285" s="43"/>
      <c r="D285" s="6"/>
      <c r="F285" s="5"/>
      <c r="G285" s="5"/>
      <c r="H285" s="5"/>
    </row>
    <row r="286" customFormat="false" ht="15" hidden="false" customHeight="true" outlineLevel="0" collapsed="false">
      <c r="C286" s="43"/>
      <c r="D286" s="6"/>
      <c r="F286" s="5"/>
      <c r="G286" s="5"/>
      <c r="H286" s="5"/>
    </row>
    <row r="287" customFormat="false" ht="15" hidden="false" customHeight="true" outlineLevel="0" collapsed="false">
      <c r="C287" s="43"/>
      <c r="D287" s="6"/>
      <c r="F287" s="5"/>
      <c r="G287" s="5"/>
      <c r="H287" s="5"/>
    </row>
    <row r="288" customFormat="false" ht="15" hidden="false" customHeight="true" outlineLevel="0" collapsed="false">
      <c r="C288" s="43"/>
      <c r="D288" s="6"/>
      <c r="F288" s="5"/>
      <c r="G288" s="5"/>
      <c r="H288" s="5"/>
    </row>
    <row r="289" customFormat="false" ht="15" hidden="false" customHeight="true" outlineLevel="0" collapsed="false">
      <c r="C289" s="43"/>
      <c r="D289" s="6"/>
      <c r="F289" s="5"/>
      <c r="G289" s="5"/>
      <c r="H289" s="5"/>
    </row>
    <row r="290" customFormat="false" ht="15" hidden="false" customHeight="true" outlineLevel="0" collapsed="false">
      <c r="C290" s="43"/>
      <c r="D290" s="6"/>
      <c r="F290" s="5"/>
      <c r="G290" s="5"/>
      <c r="H290" s="5"/>
    </row>
    <row r="291" customFormat="false" ht="15" hidden="false" customHeight="true" outlineLevel="0" collapsed="false">
      <c r="C291" s="43"/>
      <c r="D291" s="6"/>
      <c r="F291" s="5"/>
      <c r="G291" s="5"/>
      <c r="H291" s="5"/>
    </row>
    <row r="292" customFormat="false" ht="15" hidden="false" customHeight="true" outlineLevel="0" collapsed="false">
      <c r="C292" s="43"/>
      <c r="D292" s="6"/>
      <c r="F292" s="5"/>
      <c r="G292" s="5"/>
      <c r="H292" s="5"/>
    </row>
    <row r="293" customFormat="false" ht="15" hidden="false" customHeight="true" outlineLevel="0" collapsed="false">
      <c r="C293" s="43"/>
      <c r="D293" s="6"/>
      <c r="F293" s="5"/>
      <c r="G293" s="5"/>
      <c r="H293" s="5"/>
    </row>
    <row r="294" customFormat="false" ht="15" hidden="false" customHeight="true" outlineLevel="0" collapsed="false">
      <c r="C294" s="43"/>
      <c r="D294" s="6"/>
      <c r="F294" s="5"/>
      <c r="G294" s="5"/>
      <c r="H294" s="5"/>
    </row>
    <row r="295" customFormat="false" ht="15" hidden="false" customHeight="true" outlineLevel="0" collapsed="false">
      <c r="C295" s="43"/>
      <c r="D295" s="6"/>
      <c r="F295" s="5"/>
      <c r="G295" s="5"/>
      <c r="H295" s="5"/>
    </row>
    <row r="296" customFormat="false" ht="15" hidden="false" customHeight="true" outlineLevel="0" collapsed="false">
      <c r="C296" s="43"/>
      <c r="D296" s="6"/>
      <c r="F296" s="5"/>
      <c r="G296" s="5"/>
      <c r="H296" s="5"/>
    </row>
    <row r="297" customFormat="false" ht="15" hidden="false" customHeight="true" outlineLevel="0" collapsed="false">
      <c r="C297" s="43"/>
      <c r="D297" s="6"/>
      <c r="F297" s="5"/>
      <c r="G297" s="5"/>
      <c r="H297" s="5"/>
    </row>
    <row r="298" customFormat="false" ht="15" hidden="false" customHeight="true" outlineLevel="0" collapsed="false">
      <c r="C298" s="43"/>
      <c r="D298" s="6"/>
      <c r="F298" s="5"/>
      <c r="G298" s="5"/>
      <c r="H298" s="5"/>
    </row>
    <row r="299" customFormat="false" ht="15" hidden="false" customHeight="true" outlineLevel="0" collapsed="false">
      <c r="C299" s="43"/>
      <c r="D299" s="6"/>
      <c r="F299" s="5"/>
      <c r="G299" s="5"/>
      <c r="H299" s="5"/>
    </row>
    <row r="300" customFormat="false" ht="15" hidden="false" customHeight="true" outlineLevel="0" collapsed="false">
      <c r="C300" s="43"/>
      <c r="D300" s="6"/>
      <c r="F300" s="5"/>
      <c r="G300" s="5"/>
      <c r="H300" s="5"/>
    </row>
    <row r="301" customFormat="false" ht="15" hidden="false" customHeight="true" outlineLevel="0" collapsed="false">
      <c r="C301" s="43"/>
      <c r="D301" s="6"/>
      <c r="F301" s="5"/>
      <c r="G301" s="5"/>
      <c r="H301" s="5"/>
    </row>
    <row r="302" customFormat="false" ht="15" hidden="false" customHeight="true" outlineLevel="0" collapsed="false">
      <c r="C302" s="43"/>
      <c r="D302" s="6"/>
      <c r="F302" s="5"/>
      <c r="G302" s="5"/>
      <c r="H302" s="5"/>
    </row>
    <row r="303" customFormat="false" ht="15" hidden="false" customHeight="true" outlineLevel="0" collapsed="false">
      <c r="C303" s="43"/>
      <c r="D303" s="6"/>
      <c r="F303" s="5"/>
      <c r="G303" s="5"/>
      <c r="H303" s="5"/>
    </row>
    <row r="304" customFormat="false" ht="15" hidden="false" customHeight="true" outlineLevel="0" collapsed="false">
      <c r="C304" s="43"/>
      <c r="D304" s="6"/>
      <c r="F304" s="5"/>
      <c r="G304" s="5"/>
      <c r="H304" s="5"/>
    </row>
    <row r="305" customFormat="false" ht="15" hidden="false" customHeight="true" outlineLevel="0" collapsed="false">
      <c r="C305" s="43"/>
      <c r="D305" s="6"/>
      <c r="F305" s="5"/>
      <c r="G305" s="5"/>
      <c r="H305" s="5"/>
    </row>
    <row r="306" customFormat="false" ht="15" hidden="false" customHeight="true" outlineLevel="0" collapsed="false">
      <c r="C306" s="43"/>
      <c r="D306" s="6"/>
      <c r="F306" s="5"/>
      <c r="G306" s="5"/>
      <c r="H306" s="5"/>
    </row>
    <row r="307" customFormat="false" ht="15" hidden="false" customHeight="true" outlineLevel="0" collapsed="false">
      <c r="C307" s="43"/>
      <c r="D307" s="6"/>
      <c r="F307" s="5"/>
      <c r="G307" s="5"/>
      <c r="H307" s="5"/>
    </row>
    <row r="308" customFormat="false" ht="15" hidden="false" customHeight="true" outlineLevel="0" collapsed="false">
      <c r="C308" s="43"/>
      <c r="D308" s="6"/>
      <c r="F308" s="5"/>
      <c r="G308" s="5"/>
      <c r="H308" s="5"/>
    </row>
    <row r="309" customFormat="false" ht="15" hidden="false" customHeight="true" outlineLevel="0" collapsed="false">
      <c r="C309" s="43"/>
      <c r="D309" s="6"/>
      <c r="F309" s="5"/>
      <c r="G309" s="5"/>
      <c r="H309" s="5"/>
    </row>
    <row r="310" customFormat="false" ht="15" hidden="false" customHeight="true" outlineLevel="0" collapsed="false">
      <c r="C310" s="43"/>
      <c r="D310" s="6"/>
      <c r="F310" s="5"/>
      <c r="G310" s="5"/>
      <c r="H310" s="5"/>
    </row>
    <row r="311" customFormat="false" ht="15" hidden="false" customHeight="true" outlineLevel="0" collapsed="false">
      <c r="C311" s="43"/>
      <c r="D311" s="6"/>
      <c r="F311" s="5"/>
      <c r="G311" s="5"/>
      <c r="H311" s="5"/>
    </row>
    <row r="312" customFormat="false" ht="15" hidden="false" customHeight="true" outlineLevel="0" collapsed="false">
      <c r="C312" s="43"/>
      <c r="D312" s="6"/>
      <c r="F312" s="5"/>
      <c r="G312" s="5"/>
      <c r="H312" s="5"/>
    </row>
    <row r="313" customFormat="false" ht="15" hidden="false" customHeight="true" outlineLevel="0" collapsed="false">
      <c r="C313" s="43"/>
      <c r="D313" s="6"/>
      <c r="F313" s="5"/>
      <c r="G313" s="5"/>
      <c r="H313" s="5"/>
    </row>
    <row r="314" customFormat="false" ht="15" hidden="false" customHeight="true" outlineLevel="0" collapsed="false">
      <c r="C314" s="43"/>
      <c r="D314" s="6"/>
      <c r="F314" s="5"/>
      <c r="G314" s="5"/>
      <c r="H314" s="5"/>
    </row>
    <row r="315" customFormat="false" ht="15" hidden="false" customHeight="true" outlineLevel="0" collapsed="false">
      <c r="C315" s="43"/>
      <c r="D315" s="6"/>
      <c r="F315" s="5"/>
      <c r="G315" s="5"/>
      <c r="H315" s="5"/>
    </row>
    <row r="316" customFormat="false" ht="15" hidden="false" customHeight="true" outlineLevel="0" collapsed="false">
      <c r="C316" s="43"/>
      <c r="D316" s="6"/>
      <c r="F316" s="5"/>
      <c r="G316" s="5"/>
      <c r="H316" s="5"/>
    </row>
    <row r="317" customFormat="false" ht="15" hidden="false" customHeight="true" outlineLevel="0" collapsed="false">
      <c r="C317" s="43"/>
      <c r="D317" s="6"/>
      <c r="F317" s="5"/>
      <c r="G317" s="5"/>
      <c r="H317" s="5"/>
    </row>
    <row r="318" customFormat="false" ht="15" hidden="false" customHeight="true" outlineLevel="0" collapsed="false">
      <c r="C318" s="43"/>
      <c r="D318" s="6"/>
      <c r="F318" s="5"/>
      <c r="G318" s="5"/>
      <c r="H318" s="5"/>
    </row>
    <row r="319" customFormat="false" ht="15" hidden="false" customHeight="true" outlineLevel="0" collapsed="false">
      <c r="C319" s="43"/>
      <c r="D319" s="6"/>
      <c r="F319" s="5"/>
      <c r="G319" s="5"/>
      <c r="H319" s="5"/>
    </row>
    <row r="320" customFormat="false" ht="15" hidden="false" customHeight="true" outlineLevel="0" collapsed="false">
      <c r="C320" s="43"/>
      <c r="D320" s="6"/>
      <c r="F320" s="5"/>
      <c r="G320" s="5"/>
      <c r="H320" s="5"/>
    </row>
    <row r="321" customFormat="false" ht="15" hidden="false" customHeight="true" outlineLevel="0" collapsed="false">
      <c r="C321" s="43"/>
      <c r="D321" s="6"/>
      <c r="F321" s="5"/>
      <c r="G321" s="5"/>
      <c r="H321" s="5"/>
    </row>
    <row r="322" customFormat="false" ht="15" hidden="false" customHeight="true" outlineLevel="0" collapsed="false">
      <c r="C322" s="43"/>
      <c r="D322" s="6"/>
      <c r="F322" s="5"/>
      <c r="G322" s="5"/>
      <c r="H322" s="5"/>
    </row>
    <row r="323" customFormat="false" ht="15" hidden="false" customHeight="true" outlineLevel="0" collapsed="false">
      <c r="C323" s="43"/>
      <c r="D323" s="6"/>
      <c r="F323" s="5"/>
      <c r="G323" s="5"/>
      <c r="H323" s="5"/>
    </row>
    <row r="324" customFormat="false" ht="15" hidden="false" customHeight="true" outlineLevel="0" collapsed="false">
      <c r="C324" s="43"/>
      <c r="D324" s="6"/>
      <c r="F324" s="5"/>
      <c r="G324" s="5"/>
      <c r="H324" s="5"/>
    </row>
    <row r="325" customFormat="false" ht="15" hidden="false" customHeight="true" outlineLevel="0" collapsed="false">
      <c r="C325" s="43"/>
      <c r="D325" s="6"/>
      <c r="F325" s="5"/>
      <c r="G325" s="5"/>
      <c r="H325" s="5"/>
    </row>
    <row r="326" customFormat="false" ht="15" hidden="false" customHeight="true" outlineLevel="0" collapsed="false">
      <c r="C326" s="43"/>
      <c r="D326" s="6"/>
      <c r="F326" s="5"/>
      <c r="G326" s="5"/>
      <c r="H326" s="5"/>
    </row>
    <row r="327" customFormat="false" ht="15" hidden="false" customHeight="true" outlineLevel="0" collapsed="false">
      <c r="C327" s="43"/>
      <c r="D327" s="6"/>
      <c r="F327" s="5"/>
      <c r="G327" s="5"/>
      <c r="H327" s="5"/>
    </row>
    <row r="328" customFormat="false" ht="15" hidden="false" customHeight="true" outlineLevel="0" collapsed="false">
      <c r="C328" s="43"/>
      <c r="D328" s="6"/>
      <c r="F328" s="5"/>
      <c r="G328" s="5"/>
      <c r="H328" s="5"/>
    </row>
    <row r="329" customFormat="false" ht="15" hidden="false" customHeight="true" outlineLevel="0" collapsed="false">
      <c r="C329" s="43"/>
      <c r="D329" s="6"/>
      <c r="F329" s="5"/>
      <c r="G329" s="5"/>
      <c r="H329" s="5"/>
    </row>
    <row r="330" customFormat="false" ht="15" hidden="false" customHeight="true" outlineLevel="0" collapsed="false">
      <c r="C330" s="43"/>
      <c r="D330" s="6"/>
      <c r="F330" s="5"/>
      <c r="G330" s="5"/>
      <c r="H330" s="5"/>
    </row>
    <row r="331" customFormat="false" ht="15" hidden="false" customHeight="true" outlineLevel="0" collapsed="false">
      <c r="C331" s="43"/>
      <c r="D331" s="6"/>
      <c r="F331" s="5"/>
      <c r="G331" s="5"/>
      <c r="H331" s="5"/>
    </row>
    <row r="332" customFormat="false" ht="15" hidden="false" customHeight="true" outlineLevel="0" collapsed="false">
      <c r="C332" s="43"/>
      <c r="D332" s="6"/>
      <c r="F332" s="5"/>
      <c r="G332" s="5"/>
      <c r="H332" s="5"/>
    </row>
    <row r="333" customFormat="false" ht="15" hidden="false" customHeight="true" outlineLevel="0" collapsed="false">
      <c r="C333" s="43"/>
      <c r="D333" s="6"/>
      <c r="F333" s="5"/>
      <c r="G333" s="5"/>
      <c r="H333" s="5"/>
    </row>
    <row r="334" customFormat="false" ht="15" hidden="false" customHeight="true" outlineLevel="0" collapsed="false">
      <c r="C334" s="43"/>
      <c r="D334" s="6"/>
      <c r="F334" s="5"/>
      <c r="G334" s="5"/>
      <c r="H334" s="5"/>
    </row>
    <row r="335" customFormat="false" ht="15" hidden="false" customHeight="true" outlineLevel="0" collapsed="false">
      <c r="C335" s="43"/>
      <c r="D335" s="6"/>
      <c r="F335" s="5"/>
      <c r="G335" s="5"/>
      <c r="H335" s="5"/>
    </row>
    <row r="336" customFormat="false" ht="15" hidden="false" customHeight="true" outlineLevel="0" collapsed="false">
      <c r="C336" s="43"/>
      <c r="D336" s="6"/>
      <c r="F336" s="5"/>
      <c r="G336" s="5"/>
      <c r="H336" s="5"/>
    </row>
    <row r="337" customFormat="false" ht="15" hidden="false" customHeight="true" outlineLevel="0" collapsed="false">
      <c r="C337" s="43"/>
      <c r="D337" s="6"/>
      <c r="F337" s="5"/>
      <c r="G337" s="5"/>
      <c r="H337" s="5"/>
    </row>
    <row r="338" customFormat="false" ht="15" hidden="false" customHeight="true" outlineLevel="0" collapsed="false">
      <c r="C338" s="43"/>
      <c r="D338" s="6"/>
      <c r="F338" s="5"/>
      <c r="G338" s="5"/>
      <c r="H338" s="5"/>
    </row>
    <row r="339" customFormat="false" ht="15" hidden="false" customHeight="true" outlineLevel="0" collapsed="false">
      <c r="C339" s="43"/>
      <c r="D339" s="6"/>
      <c r="F339" s="5"/>
      <c r="G339" s="5"/>
      <c r="H339" s="5"/>
    </row>
    <row r="340" customFormat="false" ht="15" hidden="false" customHeight="true" outlineLevel="0" collapsed="false">
      <c r="C340" s="43"/>
      <c r="D340" s="6"/>
      <c r="F340" s="5"/>
      <c r="G340" s="5"/>
      <c r="H340" s="5"/>
    </row>
    <row r="341" customFormat="false" ht="15" hidden="false" customHeight="true" outlineLevel="0" collapsed="false">
      <c r="C341" s="43"/>
      <c r="D341" s="6"/>
      <c r="F341" s="5"/>
      <c r="G341" s="5"/>
      <c r="H341" s="5"/>
    </row>
    <row r="342" customFormat="false" ht="15" hidden="false" customHeight="true" outlineLevel="0" collapsed="false">
      <c r="C342" s="43"/>
      <c r="D342" s="6"/>
      <c r="F342" s="5"/>
      <c r="G342" s="5"/>
      <c r="H342" s="5"/>
    </row>
    <row r="343" customFormat="false" ht="15" hidden="false" customHeight="true" outlineLevel="0" collapsed="false">
      <c r="C343" s="43"/>
      <c r="D343" s="6"/>
      <c r="F343" s="5"/>
      <c r="G343" s="5"/>
      <c r="H343" s="5"/>
    </row>
    <row r="344" customFormat="false" ht="15" hidden="false" customHeight="true" outlineLevel="0" collapsed="false">
      <c r="C344" s="43"/>
      <c r="D344" s="6"/>
      <c r="F344" s="5"/>
      <c r="G344" s="5"/>
      <c r="H344" s="5"/>
    </row>
    <row r="345" customFormat="false" ht="15" hidden="false" customHeight="true" outlineLevel="0" collapsed="false">
      <c r="C345" s="43"/>
      <c r="D345" s="6"/>
      <c r="F345" s="5"/>
      <c r="G345" s="5"/>
      <c r="H345" s="5"/>
    </row>
    <row r="346" customFormat="false" ht="15" hidden="false" customHeight="true" outlineLevel="0" collapsed="false">
      <c r="C346" s="43"/>
      <c r="D346" s="6"/>
      <c r="F346" s="5"/>
      <c r="G346" s="5"/>
      <c r="H346" s="5"/>
    </row>
    <row r="347" customFormat="false" ht="15" hidden="false" customHeight="true" outlineLevel="0" collapsed="false">
      <c r="C347" s="43"/>
      <c r="D347" s="6"/>
      <c r="F347" s="5"/>
      <c r="G347" s="5"/>
      <c r="H347" s="5"/>
    </row>
    <row r="348" customFormat="false" ht="15" hidden="false" customHeight="true" outlineLevel="0" collapsed="false">
      <c r="C348" s="43"/>
      <c r="D348" s="6"/>
      <c r="F348" s="5"/>
      <c r="G348" s="5"/>
      <c r="H348" s="5"/>
    </row>
    <row r="349" customFormat="false" ht="15" hidden="false" customHeight="true" outlineLevel="0" collapsed="false">
      <c r="C349" s="43"/>
      <c r="D349" s="6"/>
      <c r="F349" s="5"/>
      <c r="G349" s="5"/>
      <c r="H349" s="5"/>
    </row>
    <row r="350" customFormat="false" ht="15" hidden="false" customHeight="true" outlineLevel="0" collapsed="false">
      <c r="C350" s="43"/>
      <c r="D350" s="6"/>
      <c r="F350" s="5"/>
      <c r="G350" s="5"/>
      <c r="H350" s="5"/>
    </row>
    <row r="351" customFormat="false" ht="15" hidden="false" customHeight="true" outlineLevel="0" collapsed="false">
      <c r="C351" s="43"/>
      <c r="D351" s="6"/>
      <c r="F351" s="5"/>
      <c r="G351" s="5"/>
      <c r="H351" s="5"/>
    </row>
    <row r="352" customFormat="false" ht="15" hidden="false" customHeight="true" outlineLevel="0" collapsed="false">
      <c r="C352" s="43"/>
      <c r="D352" s="6"/>
      <c r="F352" s="5"/>
      <c r="G352" s="5"/>
      <c r="H352" s="5"/>
    </row>
    <row r="353" customFormat="false" ht="15" hidden="false" customHeight="true" outlineLevel="0" collapsed="false">
      <c r="C353" s="43"/>
      <c r="D353" s="6"/>
      <c r="F353" s="5"/>
      <c r="G353" s="5"/>
      <c r="H353" s="5"/>
    </row>
    <row r="354" customFormat="false" ht="15" hidden="false" customHeight="true" outlineLevel="0" collapsed="false">
      <c r="C354" s="43"/>
      <c r="D354" s="6"/>
      <c r="F354" s="5"/>
      <c r="G354" s="5"/>
      <c r="H354" s="5"/>
    </row>
    <row r="355" customFormat="false" ht="15" hidden="false" customHeight="true" outlineLevel="0" collapsed="false">
      <c r="C355" s="43"/>
      <c r="D355" s="6"/>
      <c r="F355" s="5"/>
      <c r="G355" s="5"/>
      <c r="H355" s="5"/>
    </row>
    <row r="356" customFormat="false" ht="15" hidden="false" customHeight="true" outlineLevel="0" collapsed="false">
      <c r="C356" s="43"/>
      <c r="D356" s="6"/>
      <c r="F356" s="5"/>
      <c r="G356" s="5"/>
      <c r="H356" s="5"/>
    </row>
    <row r="357" customFormat="false" ht="15" hidden="false" customHeight="true" outlineLevel="0" collapsed="false">
      <c r="C357" s="43"/>
      <c r="D357" s="6"/>
      <c r="F357" s="5"/>
      <c r="G357" s="5"/>
      <c r="H357" s="5"/>
    </row>
    <row r="358" customFormat="false" ht="15" hidden="false" customHeight="true" outlineLevel="0" collapsed="false">
      <c r="C358" s="43"/>
      <c r="D358" s="6"/>
      <c r="F358" s="5"/>
      <c r="G358" s="5"/>
      <c r="H358" s="5"/>
    </row>
    <row r="359" customFormat="false" ht="15" hidden="false" customHeight="true" outlineLevel="0" collapsed="false">
      <c r="C359" s="43"/>
      <c r="D359" s="6"/>
      <c r="F359" s="5"/>
      <c r="G359" s="5"/>
      <c r="H359" s="5"/>
    </row>
    <row r="360" customFormat="false" ht="15" hidden="false" customHeight="true" outlineLevel="0" collapsed="false">
      <c r="C360" s="43"/>
      <c r="D360" s="6"/>
      <c r="F360" s="5"/>
      <c r="G360" s="5"/>
      <c r="H360" s="5"/>
    </row>
    <row r="361" customFormat="false" ht="15" hidden="false" customHeight="true" outlineLevel="0" collapsed="false">
      <c r="C361" s="43"/>
      <c r="D361" s="6"/>
      <c r="F361" s="5"/>
      <c r="G361" s="5"/>
      <c r="H361" s="5"/>
    </row>
    <row r="362" customFormat="false" ht="15" hidden="false" customHeight="true" outlineLevel="0" collapsed="false">
      <c r="C362" s="43"/>
      <c r="D362" s="6"/>
      <c r="F362" s="5"/>
      <c r="G362" s="5"/>
      <c r="H362" s="5"/>
    </row>
    <row r="363" customFormat="false" ht="15" hidden="false" customHeight="true" outlineLevel="0" collapsed="false">
      <c r="C363" s="43"/>
      <c r="D363" s="6"/>
      <c r="F363" s="5"/>
      <c r="G363" s="5"/>
      <c r="H363" s="5"/>
    </row>
    <row r="364" customFormat="false" ht="15" hidden="false" customHeight="true" outlineLevel="0" collapsed="false">
      <c r="C364" s="43"/>
      <c r="D364" s="6"/>
      <c r="F364" s="5"/>
      <c r="G364" s="5"/>
      <c r="H364" s="5"/>
    </row>
    <row r="365" customFormat="false" ht="15" hidden="false" customHeight="true" outlineLevel="0" collapsed="false">
      <c r="C365" s="43"/>
      <c r="D365" s="6"/>
      <c r="F365" s="5"/>
      <c r="G365" s="5"/>
      <c r="H365" s="5"/>
    </row>
    <row r="366" customFormat="false" ht="15" hidden="false" customHeight="true" outlineLevel="0" collapsed="false">
      <c r="C366" s="43"/>
      <c r="D366" s="6"/>
      <c r="F366" s="5"/>
      <c r="G366" s="5"/>
      <c r="H366" s="5"/>
    </row>
    <row r="367" customFormat="false" ht="15" hidden="false" customHeight="true" outlineLevel="0" collapsed="false">
      <c r="C367" s="43"/>
      <c r="D367" s="6"/>
      <c r="F367" s="5"/>
      <c r="G367" s="5"/>
      <c r="H367" s="5"/>
    </row>
    <row r="368" customFormat="false" ht="15" hidden="false" customHeight="true" outlineLevel="0" collapsed="false">
      <c r="C368" s="43"/>
      <c r="D368" s="6"/>
      <c r="F368" s="5"/>
      <c r="G368" s="5"/>
      <c r="H368" s="5"/>
    </row>
    <row r="369" customFormat="false" ht="15" hidden="false" customHeight="true" outlineLevel="0" collapsed="false">
      <c r="C369" s="43"/>
      <c r="D369" s="6"/>
      <c r="F369" s="5"/>
      <c r="G369" s="5"/>
      <c r="H369" s="5"/>
    </row>
    <row r="370" customFormat="false" ht="15" hidden="false" customHeight="true" outlineLevel="0" collapsed="false">
      <c r="C370" s="43"/>
      <c r="D370" s="6"/>
      <c r="F370" s="5"/>
      <c r="G370" s="5"/>
      <c r="H370" s="5"/>
    </row>
    <row r="371" customFormat="false" ht="15" hidden="false" customHeight="true" outlineLevel="0" collapsed="false">
      <c r="C371" s="43"/>
      <c r="D371" s="6"/>
      <c r="F371" s="5"/>
      <c r="G371" s="5"/>
      <c r="H371" s="5"/>
    </row>
    <row r="372" customFormat="false" ht="15" hidden="false" customHeight="true" outlineLevel="0" collapsed="false">
      <c r="C372" s="43"/>
      <c r="D372" s="6"/>
      <c r="F372" s="5"/>
      <c r="G372" s="5"/>
      <c r="H372" s="5"/>
    </row>
    <row r="373" customFormat="false" ht="15" hidden="false" customHeight="true" outlineLevel="0" collapsed="false">
      <c r="C373" s="43"/>
      <c r="D373" s="6"/>
      <c r="F373" s="5"/>
      <c r="G373" s="5"/>
      <c r="H373" s="5"/>
    </row>
    <row r="374" customFormat="false" ht="15" hidden="false" customHeight="true" outlineLevel="0" collapsed="false">
      <c r="C374" s="43"/>
      <c r="D374" s="6"/>
      <c r="F374" s="5"/>
      <c r="G374" s="5"/>
      <c r="H374" s="5"/>
    </row>
    <row r="375" customFormat="false" ht="15" hidden="false" customHeight="true" outlineLevel="0" collapsed="false">
      <c r="C375" s="43"/>
      <c r="D375" s="6"/>
      <c r="F375" s="5"/>
      <c r="G375" s="5"/>
      <c r="H375" s="5"/>
    </row>
    <row r="376" customFormat="false" ht="15" hidden="false" customHeight="true" outlineLevel="0" collapsed="false">
      <c r="C376" s="43"/>
      <c r="D376" s="6"/>
      <c r="F376" s="5"/>
      <c r="G376" s="5"/>
      <c r="H376" s="5"/>
    </row>
    <row r="377" customFormat="false" ht="15" hidden="false" customHeight="true" outlineLevel="0" collapsed="false">
      <c r="C377" s="43"/>
      <c r="D377" s="6"/>
      <c r="F377" s="5"/>
      <c r="G377" s="5"/>
      <c r="H377" s="5"/>
    </row>
    <row r="378" customFormat="false" ht="15" hidden="false" customHeight="true" outlineLevel="0" collapsed="false">
      <c r="C378" s="43"/>
      <c r="D378" s="6"/>
      <c r="F378" s="5"/>
      <c r="G378" s="5"/>
      <c r="H378" s="5"/>
    </row>
    <row r="379" customFormat="false" ht="15" hidden="false" customHeight="true" outlineLevel="0" collapsed="false">
      <c r="C379" s="43"/>
      <c r="D379" s="6"/>
      <c r="F379" s="5"/>
      <c r="G379" s="5"/>
      <c r="H379" s="5"/>
    </row>
    <row r="380" customFormat="false" ht="15" hidden="false" customHeight="true" outlineLevel="0" collapsed="false">
      <c r="C380" s="43"/>
      <c r="D380" s="6"/>
      <c r="F380" s="5"/>
      <c r="G380" s="5"/>
      <c r="H380" s="5"/>
    </row>
    <row r="381" customFormat="false" ht="15" hidden="false" customHeight="true" outlineLevel="0" collapsed="false">
      <c r="C381" s="43"/>
      <c r="D381" s="6"/>
      <c r="F381" s="5"/>
      <c r="G381" s="5"/>
      <c r="H381" s="5"/>
    </row>
    <row r="382" customFormat="false" ht="15" hidden="false" customHeight="true" outlineLevel="0" collapsed="false">
      <c r="C382" s="43"/>
      <c r="D382" s="6"/>
      <c r="F382" s="5"/>
      <c r="G382" s="5"/>
      <c r="H382" s="5"/>
    </row>
    <row r="383" customFormat="false" ht="15" hidden="false" customHeight="true" outlineLevel="0" collapsed="false">
      <c r="C383" s="43"/>
      <c r="D383" s="6"/>
      <c r="F383" s="5"/>
      <c r="G383" s="5"/>
      <c r="H383" s="5"/>
    </row>
    <row r="384" customFormat="false" ht="15" hidden="false" customHeight="true" outlineLevel="0" collapsed="false">
      <c r="C384" s="43"/>
      <c r="D384" s="6"/>
      <c r="F384" s="5"/>
      <c r="G384" s="5"/>
      <c r="H384" s="5"/>
    </row>
    <row r="385" customFormat="false" ht="15" hidden="false" customHeight="true" outlineLevel="0" collapsed="false">
      <c r="C385" s="43"/>
      <c r="D385" s="6"/>
      <c r="F385" s="5"/>
      <c r="G385" s="5"/>
      <c r="H385" s="5"/>
    </row>
    <row r="386" customFormat="false" ht="15" hidden="false" customHeight="true" outlineLevel="0" collapsed="false">
      <c r="C386" s="43"/>
      <c r="D386" s="6"/>
      <c r="F386" s="5"/>
      <c r="G386" s="5"/>
      <c r="H386" s="5"/>
    </row>
    <row r="387" customFormat="false" ht="15" hidden="false" customHeight="true" outlineLevel="0" collapsed="false">
      <c r="C387" s="43"/>
      <c r="D387" s="6"/>
      <c r="F387" s="5"/>
      <c r="G387" s="5"/>
      <c r="H387" s="5"/>
    </row>
    <row r="388" customFormat="false" ht="15" hidden="false" customHeight="true" outlineLevel="0" collapsed="false">
      <c r="C388" s="43"/>
      <c r="D388" s="6"/>
      <c r="F388" s="5"/>
      <c r="G388" s="5"/>
      <c r="H388" s="5"/>
    </row>
    <row r="389" customFormat="false" ht="15" hidden="false" customHeight="true" outlineLevel="0" collapsed="false">
      <c r="C389" s="43"/>
      <c r="D389" s="6"/>
      <c r="F389" s="5"/>
      <c r="G389" s="5"/>
      <c r="H389" s="5"/>
    </row>
    <row r="390" customFormat="false" ht="15" hidden="false" customHeight="true" outlineLevel="0" collapsed="false">
      <c r="C390" s="43"/>
      <c r="D390" s="6"/>
      <c r="F390" s="5"/>
      <c r="G390" s="5"/>
      <c r="H390" s="5"/>
    </row>
    <row r="391" customFormat="false" ht="15" hidden="false" customHeight="true" outlineLevel="0" collapsed="false">
      <c r="C391" s="43"/>
      <c r="D391" s="6"/>
      <c r="F391" s="5"/>
      <c r="G391" s="5"/>
      <c r="H391" s="5"/>
    </row>
    <row r="392" customFormat="false" ht="15" hidden="false" customHeight="true" outlineLevel="0" collapsed="false">
      <c r="C392" s="43"/>
      <c r="D392" s="6"/>
      <c r="F392" s="5"/>
      <c r="G392" s="5"/>
      <c r="H392" s="5"/>
    </row>
    <row r="393" customFormat="false" ht="15" hidden="false" customHeight="true" outlineLevel="0" collapsed="false">
      <c r="C393" s="43"/>
      <c r="D393" s="6"/>
      <c r="F393" s="5"/>
      <c r="G393" s="5"/>
      <c r="H393" s="5"/>
    </row>
    <row r="394" customFormat="false" ht="15" hidden="false" customHeight="true" outlineLevel="0" collapsed="false">
      <c r="C394" s="43"/>
      <c r="D394" s="6"/>
      <c r="F394" s="5"/>
      <c r="G394" s="5"/>
      <c r="H394" s="5"/>
    </row>
    <row r="395" customFormat="false" ht="15" hidden="false" customHeight="true" outlineLevel="0" collapsed="false">
      <c r="C395" s="43"/>
      <c r="D395" s="6"/>
      <c r="F395" s="5"/>
      <c r="G395" s="5"/>
      <c r="H395" s="5"/>
    </row>
    <row r="396" customFormat="false" ht="15" hidden="false" customHeight="true" outlineLevel="0" collapsed="false">
      <c r="C396" s="43"/>
      <c r="D396" s="6"/>
      <c r="F396" s="5"/>
      <c r="G396" s="5"/>
      <c r="H396" s="5"/>
    </row>
    <row r="397" customFormat="false" ht="15" hidden="false" customHeight="true" outlineLevel="0" collapsed="false">
      <c r="C397" s="43"/>
      <c r="D397" s="6"/>
      <c r="F397" s="5"/>
      <c r="G397" s="5"/>
      <c r="H397" s="5"/>
    </row>
    <row r="398" customFormat="false" ht="15" hidden="false" customHeight="true" outlineLevel="0" collapsed="false">
      <c r="C398" s="43"/>
      <c r="D398" s="6"/>
      <c r="F398" s="5"/>
      <c r="G398" s="5"/>
      <c r="H398" s="5"/>
    </row>
    <row r="399" customFormat="false" ht="15" hidden="false" customHeight="true" outlineLevel="0" collapsed="false">
      <c r="C399" s="43"/>
      <c r="D399" s="6"/>
      <c r="F399" s="5"/>
      <c r="G399" s="5"/>
      <c r="H399" s="5"/>
    </row>
    <row r="400" customFormat="false" ht="15" hidden="false" customHeight="true" outlineLevel="0" collapsed="false">
      <c r="C400" s="43"/>
      <c r="D400" s="6"/>
      <c r="F400" s="5"/>
      <c r="G400" s="5"/>
      <c r="H400" s="5"/>
    </row>
    <row r="401" customFormat="false" ht="15" hidden="false" customHeight="true" outlineLevel="0" collapsed="false">
      <c r="C401" s="43"/>
      <c r="D401" s="6"/>
      <c r="F401" s="5"/>
      <c r="G401" s="5"/>
      <c r="H401" s="5"/>
    </row>
    <row r="402" customFormat="false" ht="15" hidden="false" customHeight="true" outlineLevel="0" collapsed="false">
      <c r="C402" s="43"/>
      <c r="D402" s="6"/>
      <c r="F402" s="5"/>
      <c r="G402" s="5"/>
      <c r="H402" s="5"/>
    </row>
    <row r="403" customFormat="false" ht="15" hidden="false" customHeight="true" outlineLevel="0" collapsed="false">
      <c r="C403" s="43"/>
      <c r="D403" s="6"/>
      <c r="F403" s="5"/>
      <c r="G403" s="5"/>
      <c r="H403" s="5"/>
    </row>
    <row r="404" customFormat="false" ht="15" hidden="false" customHeight="true" outlineLevel="0" collapsed="false">
      <c r="C404" s="43"/>
      <c r="D404" s="6"/>
      <c r="F404" s="5"/>
      <c r="G404" s="5"/>
      <c r="H404" s="5"/>
    </row>
    <row r="405" customFormat="false" ht="15" hidden="false" customHeight="true" outlineLevel="0" collapsed="false">
      <c r="C405" s="43"/>
      <c r="D405" s="6"/>
      <c r="F405" s="5"/>
      <c r="G405" s="5"/>
      <c r="H405" s="5"/>
    </row>
    <row r="406" customFormat="false" ht="15" hidden="false" customHeight="true" outlineLevel="0" collapsed="false">
      <c r="C406" s="43"/>
      <c r="D406" s="6"/>
      <c r="F406" s="5"/>
      <c r="G406" s="5"/>
      <c r="H406" s="5"/>
    </row>
    <row r="407" customFormat="false" ht="15" hidden="false" customHeight="true" outlineLevel="0" collapsed="false">
      <c r="C407" s="43"/>
      <c r="D407" s="6"/>
      <c r="F407" s="5"/>
      <c r="G407" s="5"/>
      <c r="H407" s="5"/>
    </row>
    <row r="408" customFormat="false" ht="15" hidden="false" customHeight="true" outlineLevel="0" collapsed="false">
      <c r="C408" s="43"/>
      <c r="D408" s="6"/>
      <c r="F408" s="5"/>
      <c r="G408" s="5"/>
      <c r="H408" s="5"/>
    </row>
    <row r="409" customFormat="false" ht="15" hidden="false" customHeight="true" outlineLevel="0" collapsed="false">
      <c r="C409" s="43"/>
      <c r="D409" s="6"/>
      <c r="F409" s="5"/>
      <c r="G409" s="5"/>
      <c r="H409" s="5"/>
    </row>
    <row r="410" customFormat="false" ht="15" hidden="false" customHeight="true" outlineLevel="0" collapsed="false">
      <c r="C410" s="43"/>
      <c r="D410" s="6"/>
      <c r="F410" s="5"/>
      <c r="G410" s="5"/>
      <c r="H410" s="5"/>
    </row>
    <row r="411" customFormat="false" ht="15" hidden="false" customHeight="true" outlineLevel="0" collapsed="false">
      <c r="C411" s="43"/>
      <c r="D411" s="6"/>
      <c r="F411" s="5"/>
      <c r="G411" s="5"/>
      <c r="H411" s="5"/>
    </row>
    <row r="412" customFormat="false" ht="15" hidden="false" customHeight="true" outlineLevel="0" collapsed="false">
      <c r="C412" s="43"/>
      <c r="D412" s="6"/>
      <c r="F412" s="5"/>
      <c r="G412" s="5"/>
      <c r="H412" s="5"/>
    </row>
    <row r="413" customFormat="false" ht="15" hidden="false" customHeight="true" outlineLevel="0" collapsed="false">
      <c r="C413" s="43"/>
      <c r="D413" s="6"/>
      <c r="F413" s="5"/>
      <c r="G413" s="5"/>
      <c r="H413" s="5"/>
    </row>
    <row r="414" customFormat="false" ht="15" hidden="false" customHeight="true" outlineLevel="0" collapsed="false">
      <c r="C414" s="43"/>
      <c r="D414" s="6"/>
      <c r="F414" s="5"/>
      <c r="G414" s="5"/>
      <c r="H414" s="5"/>
    </row>
    <row r="415" customFormat="false" ht="15" hidden="false" customHeight="true" outlineLevel="0" collapsed="false">
      <c r="C415" s="43"/>
      <c r="D415" s="6"/>
      <c r="F415" s="5"/>
      <c r="G415" s="5"/>
      <c r="H415" s="5"/>
    </row>
    <row r="416" customFormat="false" ht="15" hidden="false" customHeight="true" outlineLevel="0" collapsed="false">
      <c r="C416" s="43"/>
      <c r="D416" s="6"/>
      <c r="F416" s="5"/>
      <c r="G416" s="5"/>
      <c r="H416" s="5"/>
    </row>
    <row r="417" customFormat="false" ht="15" hidden="false" customHeight="true" outlineLevel="0" collapsed="false">
      <c r="C417" s="43"/>
      <c r="D417" s="6"/>
      <c r="F417" s="5"/>
      <c r="G417" s="5"/>
      <c r="H417" s="5"/>
    </row>
    <row r="418" customFormat="false" ht="15" hidden="false" customHeight="true" outlineLevel="0" collapsed="false">
      <c r="C418" s="43"/>
      <c r="D418" s="6"/>
      <c r="F418" s="5"/>
      <c r="G418" s="5"/>
      <c r="H418" s="5"/>
    </row>
    <row r="419" customFormat="false" ht="15" hidden="false" customHeight="true" outlineLevel="0" collapsed="false">
      <c r="C419" s="43"/>
      <c r="D419" s="6"/>
      <c r="F419" s="5"/>
      <c r="G419" s="5"/>
      <c r="H419" s="5"/>
    </row>
    <row r="420" customFormat="false" ht="15" hidden="false" customHeight="true" outlineLevel="0" collapsed="false">
      <c r="C420" s="43"/>
      <c r="D420" s="6"/>
      <c r="F420" s="5"/>
      <c r="G420" s="5"/>
      <c r="H420" s="5"/>
    </row>
    <row r="421" customFormat="false" ht="15" hidden="false" customHeight="true" outlineLevel="0" collapsed="false">
      <c r="C421" s="43"/>
      <c r="D421" s="6"/>
      <c r="F421" s="5"/>
      <c r="G421" s="5"/>
      <c r="H421" s="5"/>
    </row>
    <row r="422" customFormat="false" ht="15" hidden="false" customHeight="true" outlineLevel="0" collapsed="false">
      <c r="C422" s="43"/>
      <c r="D422" s="6"/>
      <c r="F422" s="5"/>
      <c r="G422" s="5"/>
      <c r="H422" s="5"/>
    </row>
    <row r="423" customFormat="false" ht="15" hidden="false" customHeight="true" outlineLevel="0" collapsed="false">
      <c r="C423" s="43"/>
      <c r="D423" s="6"/>
      <c r="F423" s="5"/>
      <c r="G423" s="5"/>
      <c r="H423" s="5"/>
    </row>
    <row r="424" customFormat="false" ht="15" hidden="false" customHeight="true" outlineLevel="0" collapsed="false">
      <c r="C424" s="43"/>
      <c r="D424" s="6"/>
      <c r="F424" s="5"/>
      <c r="G424" s="5"/>
      <c r="H424" s="5"/>
    </row>
    <row r="425" customFormat="false" ht="15" hidden="false" customHeight="true" outlineLevel="0" collapsed="false">
      <c r="C425" s="43"/>
      <c r="D425" s="6"/>
      <c r="F425" s="5"/>
      <c r="G425" s="5"/>
      <c r="H425" s="5"/>
    </row>
    <row r="426" customFormat="false" ht="15" hidden="false" customHeight="true" outlineLevel="0" collapsed="false">
      <c r="C426" s="43"/>
      <c r="D426" s="6"/>
      <c r="F426" s="5"/>
      <c r="G426" s="5"/>
      <c r="H426" s="5"/>
    </row>
    <row r="427" customFormat="false" ht="15" hidden="false" customHeight="true" outlineLevel="0" collapsed="false">
      <c r="C427" s="43"/>
      <c r="D427" s="6"/>
      <c r="F427" s="5"/>
      <c r="G427" s="5"/>
      <c r="H427" s="5"/>
    </row>
    <row r="428" customFormat="false" ht="15" hidden="false" customHeight="true" outlineLevel="0" collapsed="false">
      <c r="C428" s="43"/>
      <c r="D428" s="6"/>
      <c r="F428" s="5"/>
      <c r="G428" s="5"/>
      <c r="H428" s="5"/>
    </row>
    <row r="429" customFormat="false" ht="15" hidden="false" customHeight="true" outlineLevel="0" collapsed="false">
      <c r="C429" s="43"/>
      <c r="D429" s="6"/>
      <c r="F429" s="5"/>
      <c r="G429" s="5"/>
      <c r="H429" s="5"/>
    </row>
    <row r="430" customFormat="false" ht="15" hidden="false" customHeight="true" outlineLevel="0" collapsed="false">
      <c r="C430" s="43"/>
      <c r="D430" s="6"/>
      <c r="F430" s="5"/>
      <c r="G430" s="5"/>
      <c r="H430" s="5"/>
    </row>
    <row r="431" customFormat="false" ht="15" hidden="false" customHeight="true" outlineLevel="0" collapsed="false">
      <c r="C431" s="43"/>
      <c r="D431" s="6"/>
      <c r="F431" s="5"/>
      <c r="G431" s="5"/>
      <c r="H431" s="5"/>
    </row>
    <row r="432" customFormat="false" ht="15" hidden="false" customHeight="true" outlineLevel="0" collapsed="false">
      <c r="C432" s="43"/>
      <c r="D432" s="6"/>
      <c r="F432" s="5"/>
      <c r="G432" s="5"/>
      <c r="H432" s="5"/>
    </row>
    <row r="433" customFormat="false" ht="15" hidden="false" customHeight="true" outlineLevel="0" collapsed="false">
      <c r="C433" s="43"/>
      <c r="D433" s="6"/>
      <c r="F433" s="5"/>
      <c r="G433" s="5"/>
      <c r="H433" s="5"/>
    </row>
    <row r="434" customFormat="false" ht="15" hidden="false" customHeight="true" outlineLevel="0" collapsed="false">
      <c r="C434" s="43"/>
      <c r="D434" s="6"/>
      <c r="F434" s="5"/>
      <c r="G434" s="5"/>
      <c r="H434" s="5"/>
    </row>
    <row r="435" customFormat="false" ht="15" hidden="false" customHeight="true" outlineLevel="0" collapsed="false">
      <c r="C435" s="43"/>
      <c r="D435" s="6"/>
      <c r="F435" s="5"/>
      <c r="G435" s="5"/>
      <c r="H435" s="5"/>
    </row>
    <row r="436" customFormat="false" ht="15" hidden="false" customHeight="true" outlineLevel="0" collapsed="false">
      <c r="C436" s="43"/>
      <c r="D436" s="6"/>
      <c r="F436" s="5"/>
      <c r="G436" s="5"/>
      <c r="H436" s="5"/>
    </row>
    <row r="437" customFormat="false" ht="15" hidden="false" customHeight="true" outlineLevel="0" collapsed="false">
      <c r="C437" s="43"/>
      <c r="D437" s="6"/>
      <c r="F437" s="5"/>
      <c r="G437" s="5"/>
      <c r="H437" s="5"/>
    </row>
    <row r="438" customFormat="false" ht="15" hidden="false" customHeight="true" outlineLevel="0" collapsed="false">
      <c r="C438" s="43"/>
      <c r="D438" s="6"/>
      <c r="F438" s="5"/>
      <c r="G438" s="5"/>
      <c r="H438" s="5"/>
    </row>
    <row r="439" customFormat="false" ht="15" hidden="false" customHeight="true" outlineLevel="0" collapsed="false">
      <c r="C439" s="43"/>
      <c r="D439" s="6"/>
      <c r="F439" s="5"/>
      <c r="G439" s="5"/>
      <c r="H439" s="5"/>
    </row>
    <row r="440" customFormat="false" ht="15" hidden="false" customHeight="true" outlineLevel="0" collapsed="false">
      <c r="C440" s="43"/>
      <c r="D440" s="6"/>
      <c r="F440" s="5"/>
      <c r="G440" s="5"/>
      <c r="H440" s="5"/>
    </row>
    <row r="441" customFormat="false" ht="15" hidden="false" customHeight="true" outlineLevel="0" collapsed="false">
      <c r="C441" s="43"/>
      <c r="D441" s="6"/>
      <c r="F441" s="5"/>
      <c r="G441" s="5"/>
      <c r="H441" s="5"/>
    </row>
    <row r="442" customFormat="false" ht="15" hidden="false" customHeight="true" outlineLevel="0" collapsed="false">
      <c r="C442" s="43"/>
      <c r="D442" s="6"/>
      <c r="F442" s="5"/>
      <c r="G442" s="5"/>
      <c r="H442" s="5"/>
    </row>
    <row r="443" customFormat="false" ht="15" hidden="false" customHeight="true" outlineLevel="0" collapsed="false">
      <c r="C443" s="43"/>
      <c r="D443" s="6"/>
      <c r="F443" s="5"/>
      <c r="G443" s="5"/>
      <c r="H443" s="5"/>
    </row>
    <row r="444" customFormat="false" ht="15" hidden="false" customHeight="true" outlineLevel="0" collapsed="false">
      <c r="C444" s="43"/>
      <c r="D444" s="6"/>
      <c r="F444" s="5"/>
      <c r="G444" s="5"/>
      <c r="H444" s="5"/>
    </row>
    <row r="445" customFormat="false" ht="15" hidden="false" customHeight="true" outlineLevel="0" collapsed="false">
      <c r="C445" s="43"/>
      <c r="D445" s="6"/>
      <c r="F445" s="5"/>
      <c r="G445" s="5"/>
      <c r="H445" s="5"/>
    </row>
    <row r="446" customFormat="false" ht="15" hidden="false" customHeight="true" outlineLevel="0" collapsed="false">
      <c r="C446" s="43"/>
      <c r="D446" s="6"/>
      <c r="F446" s="5"/>
      <c r="G446" s="5"/>
      <c r="H446" s="5"/>
    </row>
    <row r="447" customFormat="false" ht="15" hidden="false" customHeight="true" outlineLevel="0" collapsed="false">
      <c r="C447" s="43"/>
      <c r="D447" s="6"/>
      <c r="F447" s="5"/>
      <c r="G447" s="5"/>
      <c r="H447" s="5"/>
    </row>
    <row r="448" customFormat="false" ht="15" hidden="false" customHeight="true" outlineLevel="0" collapsed="false">
      <c r="C448" s="43"/>
      <c r="D448" s="6"/>
      <c r="F448" s="5"/>
      <c r="G448" s="5"/>
      <c r="H448" s="5"/>
    </row>
    <row r="449" customFormat="false" ht="15" hidden="false" customHeight="true" outlineLevel="0" collapsed="false">
      <c r="C449" s="43"/>
      <c r="D449" s="6"/>
      <c r="F449" s="5"/>
      <c r="G449" s="5"/>
      <c r="H449" s="5"/>
    </row>
    <row r="450" customFormat="false" ht="15" hidden="false" customHeight="true" outlineLevel="0" collapsed="false">
      <c r="C450" s="43"/>
      <c r="D450" s="6"/>
      <c r="F450" s="5"/>
      <c r="G450" s="5"/>
      <c r="H450" s="5"/>
    </row>
    <row r="451" customFormat="false" ht="15" hidden="false" customHeight="true" outlineLevel="0" collapsed="false">
      <c r="C451" s="43"/>
      <c r="D451" s="6"/>
      <c r="F451" s="5"/>
      <c r="G451" s="5"/>
      <c r="H451" s="5"/>
    </row>
    <row r="452" customFormat="false" ht="15" hidden="false" customHeight="true" outlineLevel="0" collapsed="false">
      <c r="C452" s="43"/>
      <c r="D452" s="6"/>
      <c r="F452" s="5"/>
      <c r="G452" s="5"/>
      <c r="H452" s="5"/>
    </row>
    <row r="453" customFormat="false" ht="15" hidden="false" customHeight="true" outlineLevel="0" collapsed="false">
      <c r="C453" s="43"/>
      <c r="D453" s="6"/>
      <c r="F453" s="5"/>
      <c r="G453" s="5"/>
      <c r="H453" s="5"/>
    </row>
    <row r="454" customFormat="false" ht="15" hidden="false" customHeight="true" outlineLevel="0" collapsed="false">
      <c r="C454" s="43"/>
      <c r="D454" s="6"/>
      <c r="F454" s="5"/>
      <c r="G454" s="5"/>
      <c r="H454" s="5"/>
    </row>
    <row r="455" customFormat="false" ht="15" hidden="false" customHeight="true" outlineLevel="0" collapsed="false">
      <c r="C455" s="43"/>
      <c r="D455" s="6"/>
      <c r="F455" s="5"/>
      <c r="G455" s="5"/>
      <c r="H455" s="5"/>
    </row>
    <row r="456" customFormat="false" ht="15" hidden="false" customHeight="true" outlineLevel="0" collapsed="false">
      <c r="C456" s="43"/>
      <c r="D456" s="6"/>
      <c r="F456" s="5"/>
      <c r="G456" s="5"/>
      <c r="H456" s="5"/>
    </row>
    <row r="457" customFormat="false" ht="15" hidden="false" customHeight="true" outlineLevel="0" collapsed="false">
      <c r="C457" s="43"/>
      <c r="D457" s="6"/>
      <c r="F457" s="5"/>
      <c r="G457" s="5"/>
      <c r="H457" s="5"/>
    </row>
    <row r="458" customFormat="false" ht="15" hidden="false" customHeight="true" outlineLevel="0" collapsed="false">
      <c r="C458" s="43"/>
      <c r="D458" s="6"/>
      <c r="F458" s="5"/>
      <c r="G458" s="5"/>
      <c r="H458" s="5"/>
    </row>
    <row r="459" customFormat="false" ht="15" hidden="false" customHeight="true" outlineLevel="0" collapsed="false">
      <c r="C459" s="43"/>
      <c r="D459" s="6"/>
      <c r="F459" s="5"/>
      <c r="G459" s="5"/>
      <c r="H459" s="5"/>
    </row>
    <row r="460" customFormat="false" ht="15" hidden="false" customHeight="true" outlineLevel="0" collapsed="false">
      <c r="C460" s="43"/>
      <c r="D460" s="6"/>
      <c r="F460" s="5"/>
      <c r="G460" s="5"/>
      <c r="H460" s="5"/>
    </row>
    <row r="461" customFormat="false" ht="15" hidden="false" customHeight="true" outlineLevel="0" collapsed="false">
      <c r="C461" s="43"/>
      <c r="D461" s="6"/>
      <c r="F461" s="5"/>
      <c r="G461" s="5"/>
      <c r="H461" s="5"/>
    </row>
    <row r="462" customFormat="false" ht="15" hidden="false" customHeight="true" outlineLevel="0" collapsed="false">
      <c r="C462" s="43"/>
      <c r="D462" s="6"/>
      <c r="F462" s="5"/>
      <c r="G462" s="5"/>
      <c r="H462" s="5"/>
    </row>
    <row r="463" customFormat="false" ht="15" hidden="false" customHeight="true" outlineLevel="0" collapsed="false">
      <c r="C463" s="43"/>
      <c r="D463" s="6"/>
      <c r="F463" s="5"/>
      <c r="G463" s="5"/>
      <c r="H463" s="5"/>
    </row>
    <row r="464" customFormat="false" ht="15" hidden="false" customHeight="true" outlineLevel="0" collapsed="false">
      <c r="C464" s="43"/>
      <c r="D464" s="6"/>
      <c r="F464" s="5"/>
      <c r="G464" s="5"/>
      <c r="H464" s="5"/>
    </row>
    <row r="465" customFormat="false" ht="15" hidden="false" customHeight="true" outlineLevel="0" collapsed="false">
      <c r="C465" s="43"/>
      <c r="D465" s="6"/>
      <c r="F465" s="5"/>
      <c r="G465" s="5"/>
      <c r="H465" s="5"/>
    </row>
    <row r="466" customFormat="false" ht="15" hidden="false" customHeight="true" outlineLevel="0" collapsed="false">
      <c r="C466" s="43"/>
      <c r="D466" s="6"/>
      <c r="F466" s="5"/>
      <c r="G466" s="5"/>
      <c r="H466" s="5"/>
    </row>
    <row r="467" customFormat="false" ht="15" hidden="false" customHeight="true" outlineLevel="0" collapsed="false">
      <c r="C467" s="43"/>
      <c r="D467" s="6"/>
      <c r="F467" s="5"/>
      <c r="G467" s="5"/>
      <c r="H467" s="5"/>
    </row>
    <row r="468" customFormat="false" ht="15" hidden="false" customHeight="true" outlineLevel="0" collapsed="false">
      <c r="C468" s="43"/>
      <c r="D468" s="6"/>
      <c r="F468" s="5"/>
      <c r="G468" s="5"/>
      <c r="H468" s="5"/>
    </row>
    <row r="469" customFormat="false" ht="15" hidden="false" customHeight="true" outlineLevel="0" collapsed="false">
      <c r="C469" s="43"/>
      <c r="D469" s="6"/>
      <c r="F469" s="5"/>
      <c r="G469" s="5"/>
      <c r="H469" s="5"/>
    </row>
    <row r="470" customFormat="false" ht="15" hidden="false" customHeight="true" outlineLevel="0" collapsed="false">
      <c r="C470" s="43"/>
      <c r="D470" s="6"/>
      <c r="F470" s="5"/>
      <c r="G470" s="5"/>
      <c r="H470" s="5"/>
    </row>
    <row r="471" customFormat="false" ht="15" hidden="false" customHeight="true" outlineLevel="0" collapsed="false">
      <c r="C471" s="43"/>
      <c r="D471" s="6"/>
      <c r="F471" s="5"/>
      <c r="G471" s="5"/>
      <c r="H471" s="5"/>
    </row>
    <row r="472" customFormat="false" ht="15" hidden="false" customHeight="true" outlineLevel="0" collapsed="false">
      <c r="C472" s="43"/>
      <c r="D472" s="6"/>
      <c r="F472" s="5"/>
      <c r="G472" s="5"/>
      <c r="H472" s="5"/>
    </row>
    <row r="473" customFormat="false" ht="15" hidden="false" customHeight="true" outlineLevel="0" collapsed="false">
      <c r="C473" s="43"/>
      <c r="D473" s="6"/>
      <c r="F473" s="5"/>
      <c r="G473" s="5"/>
      <c r="H473" s="5"/>
    </row>
    <row r="474" customFormat="false" ht="15" hidden="false" customHeight="true" outlineLevel="0" collapsed="false">
      <c r="C474" s="43"/>
      <c r="D474" s="6"/>
      <c r="F474" s="5"/>
      <c r="G474" s="5"/>
      <c r="H474" s="5"/>
    </row>
    <row r="475" customFormat="false" ht="15" hidden="false" customHeight="true" outlineLevel="0" collapsed="false">
      <c r="C475" s="43"/>
      <c r="D475" s="6"/>
      <c r="F475" s="5"/>
      <c r="G475" s="5"/>
      <c r="H475" s="5"/>
    </row>
    <row r="476" customFormat="false" ht="15" hidden="false" customHeight="true" outlineLevel="0" collapsed="false">
      <c r="C476" s="43"/>
      <c r="D476" s="6"/>
      <c r="F476" s="5"/>
      <c r="G476" s="5"/>
      <c r="H476" s="5"/>
    </row>
    <row r="477" customFormat="false" ht="15" hidden="false" customHeight="true" outlineLevel="0" collapsed="false">
      <c r="C477" s="43"/>
      <c r="D477" s="6"/>
      <c r="F477" s="5"/>
      <c r="G477" s="5"/>
      <c r="H477" s="5"/>
    </row>
    <row r="478" customFormat="false" ht="15" hidden="false" customHeight="true" outlineLevel="0" collapsed="false">
      <c r="C478" s="43"/>
      <c r="D478" s="6"/>
      <c r="F478" s="5"/>
      <c r="G478" s="5"/>
      <c r="H478" s="5"/>
    </row>
    <row r="479" customFormat="false" ht="15" hidden="false" customHeight="true" outlineLevel="0" collapsed="false">
      <c r="C479" s="43"/>
      <c r="D479" s="6"/>
      <c r="F479" s="5"/>
      <c r="G479" s="5"/>
      <c r="H479" s="5"/>
    </row>
    <row r="480" customFormat="false" ht="15" hidden="false" customHeight="true" outlineLevel="0" collapsed="false">
      <c r="C480" s="43"/>
      <c r="D480" s="6"/>
      <c r="F480" s="5"/>
      <c r="G480" s="5"/>
      <c r="H480" s="5"/>
    </row>
    <row r="481" customFormat="false" ht="15" hidden="false" customHeight="true" outlineLevel="0" collapsed="false">
      <c r="C481" s="43"/>
      <c r="D481" s="6"/>
      <c r="F481" s="5"/>
      <c r="G481" s="5"/>
      <c r="H481" s="5"/>
    </row>
    <row r="482" customFormat="false" ht="15" hidden="false" customHeight="true" outlineLevel="0" collapsed="false">
      <c r="C482" s="43"/>
      <c r="D482" s="6"/>
      <c r="F482" s="5"/>
      <c r="G482" s="5"/>
      <c r="H482" s="5"/>
    </row>
    <row r="483" customFormat="false" ht="15" hidden="false" customHeight="true" outlineLevel="0" collapsed="false">
      <c r="C483" s="43"/>
      <c r="D483" s="6"/>
      <c r="F483" s="5"/>
      <c r="G483" s="5"/>
      <c r="H483" s="5"/>
    </row>
    <row r="484" customFormat="false" ht="15" hidden="false" customHeight="true" outlineLevel="0" collapsed="false">
      <c r="C484" s="43"/>
      <c r="D484" s="6"/>
      <c r="F484" s="5"/>
      <c r="G484" s="5"/>
      <c r="H484" s="5"/>
    </row>
    <row r="485" customFormat="false" ht="15" hidden="false" customHeight="true" outlineLevel="0" collapsed="false">
      <c r="C485" s="43"/>
      <c r="D485" s="6"/>
      <c r="F485" s="5"/>
      <c r="G485" s="5"/>
      <c r="H485" s="5"/>
    </row>
    <row r="486" customFormat="false" ht="15" hidden="false" customHeight="true" outlineLevel="0" collapsed="false">
      <c r="C486" s="43"/>
      <c r="D486" s="6"/>
      <c r="F486" s="5"/>
      <c r="G486" s="5"/>
      <c r="H486" s="5"/>
    </row>
    <row r="487" customFormat="false" ht="15" hidden="false" customHeight="true" outlineLevel="0" collapsed="false">
      <c r="C487" s="43"/>
      <c r="D487" s="6"/>
      <c r="F487" s="5"/>
      <c r="G487" s="5"/>
      <c r="H487" s="5"/>
    </row>
    <row r="488" customFormat="false" ht="15" hidden="false" customHeight="true" outlineLevel="0" collapsed="false">
      <c r="C488" s="43"/>
      <c r="D488" s="6"/>
      <c r="F488" s="5"/>
      <c r="G488" s="5"/>
      <c r="H488" s="5"/>
    </row>
    <row r="489" customFormat="false" ht="15" hidden="false" customHeight="true" outlineLevel="0" collapsed="false">
      <c r="C489" s="43"/>
      <c r="D489" s="6"/>
      <c r="F489" s="5"/>
      <c r="G489" s="5"/>
      <c r="H489" s="5"/>
    </row>
    <row r="490" customFormat="false" ht="15" hidden="false" customHeight="true" outlineLevel="0" collapsed="false">
      <c r="C490" s="43"/>
      <c r="D490" s="6"/>
      <c r="F490" s="5"/>
      <c r="G490" s="5"/>
      <c r="H490" s="5"/>
    </row>
    <row r="491" customFormat="false" ht="15" hidden="false" customHeight="true" outlineLevel="0" collapsed="false">
      <c r="C491" s="43"/>
      <c r="D491" s="6"/>
      <c r="F491" s="5"/>
      <c r="G491" s="5"/>
      <c r="H491" s="5"/>
    </row>
    <row r="492" customFormat="false" ht="15" hidden="false" customHeight="true" outlineLevel="0" collapsed="false">
      <c r="C492" s="43"/>
      <c r="D492" s="6"/>
      <c r="F492" s="5"/>
      <c r="G492" s="5"/>
      <c r="H492" s="5"/>
    </row>
    <row r="493" customFormat="false" ht="15" hidden="false" customHeight="true" outlineLevel="0" collapsed="false">
      <c r="C493" s="43"/>
      <c r="D493" s="6"/>
      <c r="F493" s="5"/>
      <c r="G493" s="5"/>
      <c r="H493" s="5"/>
    </row>
    <row r="494" customFormat="false" ht="15" hidden="false" customHeight="true" outlineLevel="0" collapsed="false">
      <c r="C494" s="43"/>
      <c r="D494" s="6"/>
      <c r="F494" s="5"/>
      <c r="G494" s="5"/>
      <c r="H494" s="5"/>
    </row>
    <row r="495" customFormat="false" ht="15" hidden="false" customHeight="true" outlineLevel="0" collapsed="false">
      <c r="C495" s="43"/>
      <c r="D495" s="6"/>
      <c r="F495" s="5"/>
      <c r="G495" s="5"/>
      <c r="H495" s="5"/>
    </row>
    <row r="496" customFormat="false" ht="15" hidden="false" customHeight="true" outlineLevel="0" collapsed="false">
      <c r="C496" s="43"/>
      <c r="D496" s="6"/>
      <c r="F496" s="5"/>
      <c r="G496" s="5"/>
      <c r="H496" s="5"/>
    </row>
    <row r="497" customFormat="false" ht="15" hidden="false" customHeight="true" outlineLevel="0" collapsed="false">
      <c r="C497" s="43"/>
      <c r="D497" s="6"/>
      <c r="F497" s="5"/>
      <c r="G497" s="5"/>
      <c r="H497" s="5"/>
    </row>
    <row r="498" customFormat="false" ht="15" hidden="false" customHeight="true" outlineLevel="0" collapsed="false">
      <c r="C498" s="43"/>
      <c r="D498" s="6"/>
      <c r="F498" s="5"/>
      <c r="G498" s="5"/>
      <c r="H498" s="5"/>
    </row>
    <row r="499" customFormat="false" ht="15" hidden="false" customHeight="true" outlineLevel="0" collapsed="false">
      <c r="C499" s="43"/>
      <c r="D499" s="6"/>
      <c r="F499" s="5"/>
      <c r="G499" s="5"/>
      <c r="H499" s="5"/>
    </row>
    <row r="500" customFormat="false" ht="15" hidden="false" customHeight="true" outlineLevel="0" collapsed="false">
      <c r="C500" s="43"/>
      <c r="D500" s="6"/>
      <c r="F500" s="5"/>
      <c r="G500" s="5"/>
      <c r="H500" s="5"/>
    </row>
    <row r="501" customFormat="false" ht="15" hidden="false" customHeight="true" outlineLevel="0" collapsed="false">
      <c r="C501" s="43"/>
      <c r="D501" s="6"/>
      <c r="F501" s="5"/>
      <c r="G501" s="5"/>
      <c r="H501" s="5"/>
    </row>
    <row r="502" customFormat="false" ht="15" hidden="false" customHeight="true" outlineLevel="0" collapsed="false">
      <c r="C502" s="43"/>
      <c r="D502" s="6"/>
      <c r="F502" s="5"/>
      <c r="G502" s="5"/>
      <c r="H502" s="5"/>
    </row>
    <row r="503" customFormat="false" ht="15" hidden="false" customHeight="true" outlineLevel="0" collapsed="false">
      <c r="C503" s="43"/>
      <c r="D503" s="6"/>
      <c r="F503" s="5"/>
      <c r="G503" s="5"/>
      <c r="H503" s="5"/>
    </row>
    <row r="504" customFormat="false" ht="15" hidden="false" customHeight="true" outlineLevel="0" collapsed="false">
      <c r="C504" s="43"/>
      <c r="D504" s="6"/>
      <c r="F504" s="5"/>
      <c r="G504" s="5"/>
      <c r="H504" s="5"/>
    </row>
    <row r="505" customFormat="false" ht="15" hidden="false" customHeight="true" outlineLevel="0" collapsed="false">
      <c r="C505" s="43"/>
      <c r="D505" s="6"/>
      <c r="F505" s="5"/>
      <c r="G505" s="5"/>
      <c r="H505" s="5"/>
    </row>
    <row r="506" customFormat="false" ht="15" hidden="false" customHeight="true" outlineLevel="0" collapsed="false">
      <c r="C506" s="43"/>
      <c r="D506" s="6"/>
      <c r="F506" s="5"/>
      <c r="G506" s="5"/>
      <c r="H506" s="5"/>
    </row>
    <row r="507" customFormat="false" ht="15" hidden="false" customHeight="true" outlineLevel="0" collapsed="false">
      <c r="C507" s="43"/>
      <c r="D507" s="6"/>
      <c r="F507" s="5"/>
      <c r="G507" s="5"/>
      <c r="H507" s="5"/>
    </row>
    <row r="508" customFormat="false" ht="15" hidden="false" customHeight="true" outlineLevel="0" collapsed="false">
      <c r="C508" s="43"/>
      <c r="D508" s="6"/>
      <c r="F508" s="5"/>
      <c r="G508" s="5"/>
      <c r="H508" s="5"/>
    </row>
    <row r="509" customFormat="false" ht="15" hidden="false" customHeight="true" outlineLevel="0" collapsed="false">
      <c r="C509" s="43"/>
      <c r="D509" s="6"/>
      <c r="F509" s="5"/>
      <c r="G509" s="5"/>
      <c r="H509" s="5"/>
    </row>
    <row r="510" customFormat="false" ht="15" hidden="false" customHeight="true" outlineLevel="0" collapsed="false">
      <c r="C510" s="43"/>
      <c r="D510" s="6"/>
      <c r="F510" s="5"/>
      <c r="G510" s="5"/>
      <c r="H510" s="5"/>
    </row>
    <row r="511" customFormat="false" ht="15" hidden="false" customHeight="true" outlineLevel="0" collapsed="false">
      <c r="C511" s="43"/>
      <c r="D511" s="6"/>
      <c r="F511" s="5"/>
      <c r="G511" s="5"/>
      <c r="H511" s="5"/>
    </row>
    <row r="512" customFormat="false" ht="15" hidden="false" customHeight="true" outlineLevel="0" collapsed="false">
      <c r="C512" s="43"/>
      <c r="D512" s="6"/>
      <c r="F512" s="5"/>
      <c r="G512" s="5"/>
      <c r="H512" s="5"/>
    </row>
    <row r="513" customFormat="false" ht="15" hidden="false" customHeight="true" outlineLevel="0" collapsed="false">
      <c r="C513" s="43"/>
      <c r="D513" s="6"/>
      <c r="F513" s="5"/>
      <c r="G513" s="5"/>
      <c r="H513" s="5"/>
    </row>
    <row r="514" customFormat="false" ht="15" hidden="false" customHeight="true" outlineLevel="0" collapsed="false">
      <c r="C514" s="43"/>
      <c r="D514" s="6"/>
      <c r="F514" s="5"/>
      <c r="G514" s="5"/>
      <c r="H514" s="5"/>
    </row>
    <row r="515" customFormat="false" ht="15" hidden="false" customHeight="true" outlineLevel="0" collapsed="false">
      <c r="C515" s="43"/>
      <c r="D515" s="6"/>
      <c r="F515" s="5"/>
      <c r="G515" s="5"/>
      <c r="H515" s="5"/>
    </row>
    <row r="516" customFormat="false" ht="15" hidden="false" customHeight="true" outlineLevel="0" collapsed="false">
      <c r="C516" s="43"/>
      <c r="D516" s="6"/>
      <c r="F516" s="5"/>
      <c r="G516" s="5"/>
      <c r="H516" s="5"/>
    </row>
    <row r="517" customFormat="false" ht="15" hidden="false" customHeight="true" outlineLevel="0" collapsed="false">
      <c r="C517" s="43"/>
      <c r="D517" s="6"/>
      <c r="F517" s="5"/>
      <c r="G517" s="5"/>
      <c r="H517" s="5"/>
    </row>
    <row r="518" customFormat="false" ht="15" hidden="false" customHeight="true" outlineLevel="0" collapsed="false">
      <c r="C518" s="43"/>
      <c r="D518" s="6"/>
      <c r="F518" s="5"/>
      <c r="G518" s="5"/>
      <c r="H518" s="5"/>
    </row>
    <row r="519" customFormat="false" ht="15" hidden="false" customHeight="true" outlineLevel="0" collapsed="false">
      <c r="C519" s="43"/>
      <c r="D519" s="6"/>
      <c r="F519" s="5"/>
      <c r="G519" s="5"/>
      <c r="H519" s="5"/>
    </row>
    <row r="520" customFormat="false" ht="15" hidden="false" customHeight="true" outlineLevel="0" collapsed="false">
      <c r="C520" s="43"/>
      <c r="D520" s="6"/>
      <c r="F520" s="5"/>
      <c r="G520" s="5"/>
      <c r="H520" s="5"/>
    </row>
    <row r="521" customFormat="false" ht="15" hidden="false" customHeight="true" outlineLevel="0" collapsed="false">
      <c r="C521" s="43"/>
      <c r="D521" s="6"/>
      <c r="F521" s="5"/>
      <c r="G521" s="5"/>
      <c r="H521" s="5"/>
    </row>
    <row r="522" customFormat="false" ht="15" hidden="false" customHeight="true" outlineLevel="0" collapsed="false">
      <c r="C522" s="43"/>
      <c r="D522" s="6"/>
      <c r="F522" s="5"/>
      <c r="G522" s="5"/>
      <c r="H522" s="5"/>
    </row>
    <row r="523" customFormat="false" ht="15" hidden="false" customHeight="true" outlineLevel="0" collapsed="false">
      <c r="C523" s="43"/>
      <c r="D523" s="6"/>
      <c r="F523" s="5"/>
      <c r="G523" s="5"/>
      <c r="H523" s="5"/>
    </row>
    <row r="524" customFormat="false" ht="15" hidden="false" customHeight="true" outlineLevel="0" collapsed="false">
      <c r="C524" s="43"/>
      <c r="D524" s="6"/>
      <c r="F524" s="5"/>
      <c r="G524" s="5"/>
      <c r="H524" s="5"/>
    </row>
    <row r="525" customFormat="false" ht="15" hidden="false" customHeight="true" outlineLevel="0" collapsed="false">
      <c r="C525" s="43"/>
      <c r="D525" s="6"/>
      <c r="F525" s="5"/>
      <c r="G525" s="5"/>
      <c r="H525" s="5"/>
    </row>
    <row r="526" customFormat="false" ht="15" hidden="false" customHeight="true" outlineLevel="0" collapsed="false">
      <c r="C526" s="43"/>
      <c r="D526" s="6"/>
      <c r="F526" s="5"/>
      <c r="G526" s="5"/>
      <c r="H526" s="5"/>
    </row>
    <row r="527" customFormat="false" ht="15" hidden="false" customHeight="true" outlineLevel="0" collapsed="false">
      <c r="C527" s="43"/>
      <c r="D527" s="6"/>
      <c r="F527" s="5"/>
      <c r="G527" s="5"/>
      <c r="H527" s="5"/>
    </row>
    <row r="528" customFormat="false" ht="15" hidden="false" customHeight="true" outlineLevel="0" collapsed="false">
      <c r="C528" s="43"/>
      <c r="D528" s="6"/>
      <c r="F528" s="5"/>
      <c r="G528" s="5"/>
      <c r="H528" s="5"/>
    </row>
    <row r="529" customFormat="false" ht="15" hidden="false" customHeight="true" outlineLevel="0" collapsed="false">
      <c r="C529" s="43"/>
      <c r="D529" s="6"/>
      <c r="F529" s="5"/>
      <c r="G529" s="5"/>
      <c r="H529" s="5"/>
    </row>
    <row r="530" customFormat="false" ht="15" hidden="false" customHeight="true" outlineLevel="0" collapsed="false">
      <c r="C530" s="43"/>
      <c r="D530" s="6"/>
      <c r="F530" s="5"/>
      <c r="G530" s="5"/>
      <c r="H530" s="5"/>
    </row>
    <row r="531" customFormat="false" ht="15" hidden="false" customHeight="true" outlineLevel="0" collapsed="false">
      <c r="C531" s="43"/>
      <c r="D531" s="6"/>
      <c r="F531" s="5"/>
      <c r="G531" s="5"/>
      <c r="H531" s="5"/>
    </row>
    <row r="532" customFormat="false" ht="15" hidden="false" customHeight="true" outlineLevel="0" collapsed="false">
      <c r="C532" s="43"/>
      <c r="D532" s="6"/>
      <c r="F532" s="5"/>
      <c r="G532" s="5"/>
      <c r="H532" s="5"/>
    </row>
    <row r="533" customFormat="false" ht="15" hidden="false" customHeight="true" outlineLevel="0" collapsed="false">
      <c r="C533" s="43"/>
      <c r="D533" s="6"/>
      <c r="F533" s="5"/>
      <c r="G533" s="5"/>
      <c r="H533" s="5"/>
    </row>
    <row r="534" customFormat="false" ht="15" hidden="false" customHeight="true" outlineLevel="0" collapsed="false">
      <c r="C534" s="43"/>
      <c r="D534" s="6"/>
      <c r="F534" s="5"/>
      <c r="G534" s="5"/>
      <c r="H534" s="5"/>
    </row>
    <row r="535" customFormat="false" ht="15" hidden="false" customHeight="true" outlineLevel="0" collapsed="false">
      <c r="C535" s="43"/>
      <c r="D535" s="6"/>
      <c r="F535" s="5"/>
      <c r="G535" s="5"/>
      <c r="H535" s="5"/>
    </row>
    <row r="536" customFormat="false" ht="15" hidden="false" customHeight="true" outlineLevel="0" collapsed="false">
      <c r="C536" s="43"/>
      <c r="D536" s="6"/>
      <c r="F536" s="5"/>
      <c r="G536" s="5"/>
      <c r="H536" s="5"/>
    </row>
    <row r="537" customFormat="false" ht="15" hidden="false" customHeight="true" outlineLevel="0" collapsed="false">
      <c r="C537" s="43"/>
      <c r="D537" s="6"/>
      <c r="F537" s="5"/>
      <c r="G537" s="5"/>
      <c r="H537" s="5"/>
    </row>
    <row r="538" customFormat="false" ht="15" hidden="false" customHeight="true" outlineLevel="0" collapsed="false">
      <c r="C538" s="43"/>
      <c r="D538" s="6"/>
      <c r="F538" s="5"/>
      <c r="G538" s="5"/>
      <c r="H538" s="5"/>
    </row>
    <row r="539" customFormat="false" ht="15" hidden="false" customHeight="true" outlineLevel="0" collapsed="false">
      <c r="C539" s="43"/>
      <c r="D539" s="6"/>
      <c r="F539" s="5"/>
      <c r="G539" s="5"/>
      <c r="H539" s="5"/>
    </row>
    <row r="540" customFormat="false" ht="15" hidden="false" customHeight="true" outlineLevel="0" collapsed="false">
      <c r="C540" s="43"/>
      <c r="D540" s="6"/>
      <c r="F540" s="5"/>
      <c r="G540" s="5"/>
      <c r="H540" s="5"/>
    </row>
    <row r="541" customFormat="false" ht="15" hidden="false" customHeight="true" outlineLevel="0" collapsed="false">
      <c r="C541" s="43"/>
      <c r="D541" s="6"/>
      <c r="F541" s="5"/>
      <c r="G541" s="5"/>
      <c r="H541" s="5"/>
    </row>
    <row r="542" customFormat="false" ht="15" hidden="false" customHeight="true" outlineLevel="0" collapsed="false">
      <c r="C542" s="43"/>
      <c r="D542" s="6"/>
      <c r="F542" s="5"/>
      <c r="G542" s="5"/>
      <c r="H542" s="5"/>
    </row>
    <row r="543" customFormat="false" ht="15" hidden="false" customHeight="true" outlineLevel="0" collapsed="false">
      <c r="C543" s="43"/>
      <c r="D543" s="6"/>
      <c r="F543" s="5"/>
      <c r="G543" s="5"/>
      <c r="H543" s="5"/>
    </row>
    <row r="544" customFormat="false" ht="15" hidden="false" customHeight="true" outlineLevel="0" collapsed="false">
      <c r="C544" s="43"/>
      <c r="D544" s="6"/>
      <c r="F544" s="5"/>
      <c r="G544" s="5"/>
      <c r="H544" s="5"/>
    </row>
    <row r="545" customFormat="false" ht="15" hidden="false" customHeight="true" outlineLevel="0" collapsed="false">
      <c r="C545" s="43"/>
      <c r="D545" s="6"/>
      <c r="F545" s="5"/>
      <c r="G545" s="5"/>
      <c r="H545" s="5"/>
    </row>
    <row r="546" customFormat="false" ht="15" hidden="false" customHeight="true" outlineLevel="0" collapsed="false">
      <c r="C546" s="43"/>
      <c r="D546" s="6"/>
      <c r="F546" s="5"/>
      <c r="G546" s="5"/>
      <c r="H546" s="5"/>
    </row>
    <row r="547" customFormat="false" ht="15" hidden="false" customHeight="true" outlineLevel="0" collapsed="false">
      <c r="C547" s="43"/>
      <c r="D547" s="6"/>
      <c r="F547" s="5"/>
      <c r="G547" s="5"/>
      <c r="H547" s="5"/>
    </row>
    <row r="548" customFormat="false" ht="15" hidden="false" customHeight="true" outlineLevel="0" collapsed="false">
      <c r="C548" s="43"/>
      <c r="D548" s="6"/>
      <c r="F548" s="5"/>
      <c r="G548" s="5"/>
      <c r="H548" s="5"/>
    </row>
    <row r="549" customFormat="false" ht="15" hidden="false" customHeight="true" outlineLevel="0" collapsed="false">
      <c r="C549" s="43"/>
      <c r="D549" s="6"/>
      <c r="F549" s="5"/>
      <c r="G549" s="5"/>
      <c r="H549" s="5"/>
    </row>
    <row r="550" customFormat="false" ht="15" hidden="false" customHeight="true" outlineLevel="0" collapsed="false">
      <c r="C550" s="43"/>
      <c r="D550" s="6"/>
      <c r="F550" s="5"/>
      <c r="G550" s="5"/>
      <c r="H550" s="5"/>
    </row>
    <row r="551" customFormat="false" ht="15" hidden="false" customHeight="true" outlineLevel="0" collapsed="false">
      <c r="C551" s="43"/>
      <c r="D551" s="6"/>
      <c r="F551" s="5"/>
      <c r="G551" s="5"/>
      <c r="H551" s="5"/>
    </row>
    <row r="552" customFormat="false" ht="15" hidden="false" customHeight="true" outlineLevel="0" collapsed="false">
      <c r="C552" s="43"/>
      <c r="D552" s="6"/>
      <c r="F552" s="5"/>
      <c r="G552" s="5"/>
      <c r="H552" s="5"/>
    </row>
    <row r="553" customFormat="false" ht="15" hidden="false" customHeight="true" outlineLevel="0" collapsed="false">
      <c r="C553" s="43"/>
      <c r="D553" s="6"/>
      <c r="F553" s="5"/>
      <c r="G553" s="5"/>
      <c r="H553" s="5"/>
    </row>
    <row r="554" customFormat="false" ht="15" hidden="false" customHeight="true" outlineLevel="0" collapsed="false">
      <c r="C554" s="43"/>
      <c r="D554" s="6"/>
      <c r="F554" s="5"/>
      <c r="G554" s="5"/>
      <c r="H554" s="5"/>
    </row>
    <row r="555" customFormat="false" ht="15" hidden="false" customHeight="true" outlineLevel="0" collapsed="false">
      <c r="C555" s="43"/>
      <c r="D555" s="6"/>
      <c r="F555" s="5"/>
      <c r="G555" s="5"/>
      <c r="H555" s="5"/>
    </row>
    <row r="556" customFormat="false" ht="15" hidden="false" customHeight="true" outlineLevel="0" collapsed="false">
      <c r="C556" s="43"/>
      <c r="D556" s="6"/>
      <c r="F556" s="5"/>
      <c r="G556" s="5"/>
      <c r="H556" s="5"/>
    </row>
    <row r="557" customFormat="false" ht="15" hidden="false" customHeight="true" outlineLevel="0" collapsed="false">
      <c r="C557" s="43"/>
      <c r="D557" s="6"/>
      <c r="F557" s="5"/>
      <c r="G557" s="5"/>
      <c r="H557" s="5"/>
    </row>
    <row r="558" customFormat="false" ht="15" hidden="false" customHeight="true" outlineLevel="0" collapsed="false">
      <c r="C558" s="43"/>
      <c r="D558" s="6"/>
      <c r="F558" s="5"/>
      <c r="G558" s="5"/>
      <c r="H558" s="5"/>
    </row>
    <row r="559" customFormat="false" ht="15" hidden="false" customHeight="true" outlineLevel="0" collapsed="false">
      <c r="C559" s="43"/>
      <c r="D559" s="6"/>
      <c r="F559" s="5"/>
      <c r="G559" s="5"/>
      <c r="H559" s="5"/>
    </row>
    <row r="560" customFormat="false" ht="15" hidden="false" customHeight="true" outlineLevel="0" collapsed="false">
      <c r="C560" s="43"/>
      <c r="D560" s="6"/>
      <c r="F560" s="5"/>
      <c r="G560" s="5"/>
      <c r="H560" s="5"/>
    </row>
    <row r="561" customFormat="false" ht="15" hidden="false" customHeight="true" outlineLevel="0" collapsed="false">
      <c r="C561" s="43"/>
      <c r="D561" s="6"/>
      <c r="F561" s="5"/>
      <c r="G561" s="5"/>
      <c r="H561" s="5"/>
    </row>
    <row r="562" customFormat="false" ht="15" hidden="false" customHeight="true" outlineLevel="0" collapsed="false">
      <c r="C562" s="43"/>
      <c r="D562" s="6"/>
      <c r="F562" s="5"/>
      <c r="G562" s="5"/>
      <c r="H562" s="5"/>
    </row>
    <row r="563" customFormat="false" ht="15" hidden="false" customHeight="true" outlineLevel="0" collapsed="false">
      <c r="C563" s="43"/>
      <c r="D563" s="6"/>
      <c r="F563" s="5"/>
      <c r="G563" s="5"/>
      <c r="H563" s="5"/>
    </row>
    <row r="564" customFormat="false" ht="15" hidden="false" customHeight="true" outlineLevel="0" collapsed="false">
      <c r="C564" s="43"/>
      <c r="D564" s="6"/>
      <c r="F564" s="5"/>
      <c r="G564" s="5"/>
      <c r="H564" s="5"/>
    </row>
    <row r="565" customFormat="false" ht="15" hidden="false" customHeight="true" outlineLevel="0" collapsed="false">
      <c r="C565" s="43"/>
      <c r="D565" s="6"/>
      <c r="F565" s="5"/>
      <c r="G565" s="5"/>
      <c r="H565" s="5"/>
    </row>
    <row r="566" customFormat="false" ht="15" hidden="false" customHeight="true" outlineLevel="0" collapsed="false">
      <c r="C566" s="43"/>
      <c r="D566" s="6"/>
      <c r="F566" s="5"/>
      <c r="G566" s="5"/>
      <c r="H566" s="5"/>
    </row>
    <row r="567" customFormat="false" ht="15" hidden="false" customHeight="true" outlineLevel="0" collapsed="false">
      <c r="C567" s="43"/>
      <c r="D567" s="6"/>
      <c r="F567" s="5"/>
      <c r="G567" s="5"/>
      <c r="H567" s="5"/>
    </row>
    <row r="568" customFormat="false" ht="15" hidden="false" customHeight="true" outlineLevel="0" collapsed="false">
      <c r="C568" s="43"/>
      <c r="D568" s="6"/>
      <c r="F568" s="5"/>
      <c r="G568" s="5"/>
      <c r="H568" s="5"/>
    </row>
    <row r="569" customFormat="false" ht="15" hidden="false" customHeight="true" outlineLevel="0" collapsed="false">
      <c r="C569" s="43"/>
      <c r="D569" s="6"/>
      <c r="F569" s="5"/>
      <c r="G569" s="5"/>
      <c r="H569" s="5"/>
    </row>
    <row r="570" customFormat="false" ht="15" hidden="false" customHeight="true" outlineLevel="0" collapsed="false">
      <c r="C570" s="43"/>
      <c r="D570" s="6"/>
      <c r="F570" s="5"/>
      <c r="G570" s="5"/>
      <c r="H570" s="5"/>
    </row>
    <row r="571" customFormat="false" ht="15" hidden="false" customHeight="true" outlineLevel="0" collapsed="false">
      <c r="C571" s="43"/>
      <c r="D571" s="6"/>
      <c r="F571" s="5"/>
      <c r="G571" s="5"/>
      <c r="H571" s="5"/>
    </row>
    <row r="572" customFormat="false" ht="15" hidden="false" customHeight="true" outlineLevel="0" collapsed="false">
      <c r="C572" s="43"/>
      <c r="D572" s="6"/>
      <c r="F572" s="5"/>
      <c r="G572" s="5"/>
      <c r="H572" s="5"/>
    </row>
    <row r="573" customFormat="false" ht="15" hidden="false" customHeight="true" outlineLevel="0" collapsed="false">
      <c r="C573" s="43"/>
      <c r="D573" s="6"/>
      <c r="F573" s="5"/>
      <c r="G573" s="5"/>
      <c r="H573" s="5"/>
    </row>
    <row r="574" customFormat="false" ht="15" hidden="false" customHeight="true" outlineLevel="0" collapsed="false">
      <c r="C574" s="43"/>
      <c r="D574" s="6"/>
      <c r="F574" s="5"/>
      <c r="G574" s="5"/>
      <c r="H574" s="5"/>
    </row>
    <row r="575" customFormat="false" ht="15" hidden="false" customHeight="true" outlineLevel="0" collapsed="false">
      <c r="C575" s="43"/>
      <c r="D575" s="6"/>
      <c r="F575" s="5"/>
      <c r="G575" s="5"/>
      <c r="H575" s="5"/>
    </row>
    <row r="576" customFormat="false" ht="15" hidden="false" customHeight="true" outlineLevel="0" collapsed="false">
      <c r="C576" s="43"/>
      <c r="D576" s="6"/>
      <c r="F576" s="5"/>
      <c r="G576" s="5"/>
      <c r="H576" s="5"/>
    </row>
    <row r="577" customFormat="false" ht="15" hidden="false" customHeight="true" outlineLevel="0" collapsed="false">
      <c r="C577" s="43"/>
      <c r="D577" s="6"/>
      <c r="F577" s="5"/>
      <c r="G577" s="5"/>
      <c r="H577" s="5"/>
    </row>
    <row r="578" customFormat="false" ht="15" hidden="false" customHeight="true" outlineLevel="0" collapsed="false">
      <c r="C578" s="43"/>
      <c r="D578" s="6"/>
      <c r="F578" s="5"/>
      <c r="G578" s="5"/>
      <c r="H578" s="5"/>
    </row>
    <row r="579" customFormat="false" ht="15" hidden="false" customHeight="true" outlineLevel="0" collapsed="false">
      <c r="C579" s="43"/>
      <c r="D579" s="6"/>
      <c r="F579" s="5"/>
      <c r="G579" s="5"/>
      <c r="H579" s="5"/>
    </row>
    <row r="580" customFormat="false" ht="15" hidden="false" customHeight="true" outlineLevel="0" collapsed="false">
      <c r="C580" s="43"/>
      <c r="D580" s="6"/>
      <c r="F580" s="5"/>
      <c r="G580" s="5"/>
      <c r="H580" s="5"/>
    </row>
    <row r="581" customFormat="false" ht="15" hidden="false" customHeight="true" outlineLevel="0" collapsed="false">
      <c r="C581" s="43"/>
      <c r="D581" s="6"/>
      <c r="F581" s="5"/>
      <c r="G581" s="5"/>
      <c r="H581" s="5"/>
    </row>
    <row r="582" customFormat="false" ht="15" hidden="false" customHeight="true" outlineLevel="0" collapsed="false">
      <c r="C582" s="43"/>
      <c r="D582" s="6"/>
      <c r="F582" s="5"/>
      <c r="G582" s="5"/>
      <c r="H582" s="5"/>
    </row>
    <row r="583" customFormat="false" ht="15" hidden="false" customHeight="true" outlineLevel="0" collapsed="false">
      <c r="C583" s="43"/>
      <c r="D583" s="6"/>
      <c r="F583" s="5"/>
      <c r="G583" s="5"/>
      <c r="H583" s="5"/>
    </row>
    <row r="584" customFormat="false" ht="15" hidden="false" customHeight="true" outlineLevel="0" collapsed="false">
      <c r="C584" s="43"/>
      <c r="D584" s="6"/>
      <c r="F584" s="5"/>
      <c r="G584" s="5"/>
      <c r="H584" s="5"/>
    </row>
    <row r="585" customFormat="false" ht="15" hidden="false" customHeight="true" outlineLevel="0" collapsed="false">
      <c r="C585" s="43"/>
      <c r="D585" s="6"/>
      <c r="F585" s="5"/>
      <c r="G585" s="5"/>
      <c r="H585" s="5"/>
    </row>
    <row r="586" customFormat="false" ht="15" hidden="false" customHeight="true" outlineLevel="0" collapsed="false">
      <c r="C586" s="43"/>
      <c r="D586" s="6"/>
      <c r="F586" s="5"/>
      <c r="G586" s="5"/>
      <c r="H586" s="5"/>
    </row>
    <row r="587" customFormat="false" ht="15" hidden="false" customHeight="true" outlineLevel="0" collapsed="false">
      <c r="C587" s="43"/>
      <c r="D587" s="6"/>
      <c r="F587" s="5"/>
      <c r="G587" s="5"/>
      <c r="H587" s="5"/>
    </row>
    <row r="588" customFormat="false" ht="15" hidden="false" customHeight="true" outlineLevel="0" collapsed="false">
      <c r="C588" s="43"/>
      <c r="D588" s="6"/>
      <c r="F588" s="5"/>
      <c r="G588" s="5"/>
      <c r="H588" s="5"/>
    </row>
    <row r="589" customFormat="false" ht="15" hidden="false" customHeight="true" outlineLevel="0" collapsed="false">
      <c r="C589" s="43"/>
      <c r="D589" s="6"/>
      <c r="F589" s="5"/>
      <c r="G589" s="5"/>
      <c r="H589" s="5"/>
    </row>
    <row r="590" customFormat="false" ht="15" hidden="false" customHeight="true" outlineLevel="0" collapsed="false">
      <c r="C590" s="43"/>
      <c r="D590" s="6"/>
      <c r="F590" s="5"/>
      <c r="G590" s="5"/>
      <c r="H590" s="5"/>
    </row>
    <row r="591" customFormat="false" ht="15" hidden="false" customHeight="true" outlineLevel="0" collapsed="false">
      <c r="C591" s="43"/>
      <c r="D591" s="6"/>
      <c r="F591" s="5"/>
      <c r="G591" s="5"/>
      <c r="H591" s="5"/>
    </row>
    <row r="592" customFormat="false" ht="15" hidden="false" customHeight="true" outlineLevel="0" collapsed="false">
      <c r="C592" s="43"/>
      <c r="D592" s="6"/>
      <c r="F592" s="5"/>
      <c r="G592" s="5"/>
      <c r="H592" s="5"/>
    </row>
    <row r="593" customFormat="false" ht="15" hidden="false" customHeight="true" outlineLevel="0" collapsed="false">
      <c r="C593" s="43"/>
      <c r="D593" s="6"/>
      <c r="F593" s="5"/>
      <c r="G593" s="5"/>
      <c r="H593" s="5"/>
    </row>
    <row r="594" customFormat="false" ht="15" hidden="false" customHeight="true" outlineLevel="0" collapsed="false">
      <c r="C594" s="43"/>
      <c r="D594" s="6"/>
      <c r="F594" s="5"/>
      <c r="G594" s="5"/>
      <c r="H594" s="5"/>
    </row>
    <row r="595" customFormat="false" ht="15" hidden="false" customHeight="true" outlineLevel="0" collapsed="false">
      <c r="C595" s="43"/>
      <c r="D595" s="6"/>
      <c r="F595" s="5"/>
      <c r="G595" s="5"/>
      <c r="H595" s="5"/>
    </row>
    <row r="596" customFormat="false" ht="15" hidden="false" customHeight="true" outlineLevel="0" collapsed="false">
      <c r="C596" s="43"/>
      <c r="D596" s="6"/>
      <c r="F596" s="5"/>
      <c r="G596" s="5"/>
      <c r="H596" s="5"/>
    </row>
    <row r="597" customFormat="false" ht="15" hidden="false" customHeight="true" outlineLevel="0" collapsed="false">
      <c r="C597" s="43"/>
      <c r="D597" s="6"/>
      <c r="F597" s="5"/>
      <c r="G597" s="5"/>
      <c r="H597" s="5"/>
    </row>
    <row r="598" customFormat="false" ht="15" hidden="false" customHeight="true" outlineLevel="0" collapsed="false">
      <c r="C598" s="43"/>
      <c r="D598" s="6"/>
      <c r="F598" s="5"/>
      <c r="G598" s="5"/>
      <c r="H598" s="5"/>
    </row>
    <row r="599" customFormat="false" ht="15" hidden="false" customHeight="true" outlineLevel="0" collapsed="false">
      <c r="C599" s="43"/>
      <c r="D599" s="6"/>
      <c r="F599" s="5"/>
      <c r="G599" s="5"/>
      <c r="H599" s="5"/>
    </row>
    <row r="600" customFormat="false" ht="15" hidden="false" customHeight="true" outlineLevel="0" collapsed="false">
      <c r="C600" s="43"/>
      <c r="D600" s="6"/>
      <c r="F600" s="5"/>
      <c r="G600" s="5"/>
      <c r="H600" s="5"/>
    </row>
    <row r="601" customFormat="false" ht="15" hidden="false" customHeight="true" outlineLevel="0" collapsed="false">
      <c r="C601" s="43"/>
      <c r="D601" s="6"/>
      <c r="F601" s="5"/>
      <c r="G601" s="5"/>
      <c r="H601" s="5"/>
    </row>
    <row r="602" customFormat="false" ht="15" hidden="false" customHeight="true" outlineLevel="0" collapsed="false">
      <c r="C602" s="43"/>
      <c r="D602" s="6"/>
      <c r="F602" s="5"/>
      <c r="G602" s="5"/>
      <c r="H602" s="5"/>
    </row>
    <row r="603" customFormat="false" ht="15" hidden="false" customHeight="true" outlineLevel="0" collapsed="false">
      <c r="C603" s="43"/>
      <c r="D603" s="6"/>
      <c r="F603" s="5"/>
      <c r="G603" s="5"/>
      <c r="H603" s="5"/>
    </row>
    <row r="604" customFormat="false" ht="15" hidden="false" customHeight="true" outlineLevel="0" collapsed="false">
      <c r="C604" s="43"/>
      <c r="D604" s="6"/>
      <c r="F604" s="5"/>
      <c r="G604" s="5"/>
      <c r="H604" s="5"/>
    </row>
    <row r="605" customFormat="false" ht="15" hidden="false" customHeight="true" outlineLevel="0" collapsed="false">
      <c r="C605" s="43"/>
      <c r="D605" s="6"/>
      <c r="F605" s="5"/>
      <c r="G605" s="5"/>
      <c r="H605" s="5"/>
    </row>
    <row r="606" customFormat="false" ht="15" hidden="false" customHeight="true" outlineLevel="0" collapsed="false">
      <c r="C606" s="43"/>
      <c r="D606" s="6"/>
      <c r="F606" s="5"/>
      <c r="G606" s="5"/>
      <c r="H606" s="5"/>
    </row>
    <row r="607" customFormat="false" ht="15" hidden="false" customHeight="true" outlineLevel="0" collapsed="false">
      <c r="C607" s="43"/>
      <c r="D607" s="6"/>
      <c r="F607" s="5"/>
      <c r="G607" s="5"/>
      <c r="H607" s="5"/>
    </row>
    <row r="608" customFormat="false" ht="15" hidden="false" customHeight="true" outlineLevel="0" collapsed="false">
      <c r="C608" s="43"/>
      <c r="D608" s="6"/>
      <c r="F608" s="5"/>
      <c r="G608" s="5"/>
      <c r="H608" s="5"/>
    </row>
    <row r="609" customFormat="false" ht="15" hidden="false" customHeight="true" outlineLevel="0" collapsed="false">
      <c r="C609" s="43"/>
      <c r="D609" s="6"/>
      <c r="F609" s="5"/>
      <c r="G609" s="5"/>
      <c r="H609" s="5"/>
    </row>
    <row r="610" customFormat="false" ht="15" hidden="false" customHeight="true" outlineLevel="0" collapsed="false">
      <c r="C610" s="43"/>
      <c r="D610" s="6"/>
      <c r="F610" s="5"/>
      <c r="G610" s="5"/>
      <c r="H610" s="5"/>
    </row>
    <row r="611" customFormat="false" ht="15" hidden="false" customHeight="true" outlineLevel="0" collapsed="false">
      <c r="C611" s="43"/>
      <c r="D611" s="6"/>
      <c r="F611" s="5"/>
      <c r="G611" s="5"/>
      <c r="H611" s="5"/>
    </row>
    <row r="612" customFormat="false" ht="15" hidden="false" customHeight="true" outlineLevel="0" collapsed="false">
      <c r="C612" s="43"/>
      <c r="D612" s="6"/>
      <c r="F612" s="5"/>
      <c r="G612" s="5"/>
      <c r="H612" s="5"/>
    </row>
    <row r="613" customFormat="false" ht="15" hidden="false" customHeight="true" outlineLevel="0" collapsed="false">
      <c r="C613" s="43"/>
      <c r="D613" s="6"/>
      <c r="F613" s="5"/>
      <c r="G613" s="5"/>
      <c r="H613" s="5"/>
    </row>
    <row r="614" customFormat="false" ht="15" hidden="false" customHeight="true" outlineLevel="0" collapsed="false">
      <c r="C614" s="43"/>
      <c r="D614" s="6"/>
      <c r="F614" s="5"/>
      <c r="G614" s="5"/>
      <c r="H614" s="5"/>
    </row>
    <row r="615" customFormat="false" ht="15" hidden="false" customHeight="true" outlineLevel="0" collapsed="false">
      <c r="C615" s="43"/>
      <c r="D615" s="6"/>
      <c r="F615" s="5"/>
      <c r="G615" s="5"/>
      <c r="H615" s="5"/>
    </row>
    <row r="616" customFormat="false" ht="15" hidden="false" customHeight="true" outlineLevel="0" collapsed="false">
      <c r="C616" s="43"/>
      <c r="D616" s="6"/>
      <c r="F616" s="5"/>
      <c r="G616" s="5"/>
      <c r="H616" s="5"/>
    </row>
    <row r="617" customFormat="false" ht="15" hidden="false" customHeight="true" outlineLevel="0" collapsed="false">
      <c r="C617" s="43"/>
      <c r="D617" s="6"/>
      <c r="F617" s="5"/>
      <c r="G617" s="5"/>
      <c r="H617" s="5"/>
    </row>
    <row r="618" customFormat="false" ht="15" hidden="false" customHeight="true" outlineLevel="0" collapsed="false">
      <c r="C618" s="43"/>
      <c r="D618" s="6"/>
      <c r="F618" s="5"/>
      <c r="G618" s="5"/>
      <c r="H618" s="5"/>
    </row>
    <row r="619" customFormat="false" ht="15" hidden="false" customHeight="true" outlineLevel="0" collapsed="false">
      <c r="C619" s="43"/>
      <c r="D619" s="6"/>
      <c r="F619" s="5"/>
      <c r="G619" s="5"/>
      <c r="H619" s="5"/>
    </row>
    <row r="620" customFormat="false" ht="15" hidden="false" customHeight="true" outlineLevel="0" collapsed="false">
      <c r="C620" s="43"/>
      <c r="D620" s="6"/>
      <c r="F620" s="5"/>
      <c r="G620" s="5"/>
      <c r="H620" s="5"/>
    </row>
    <row r="621" customFormat="false" ht="15" hidden="false" customHeight="true" outlineLevel="0" collapsed="false">
      <c r="C621" s="43"/>
      <c r="D621" s="6"/>
      <c r="F621" s="5"/>
      <c r="G621" s="5"/>
      <c r="H621" s="5"/>
    </row>
    <row r="622" customFormat="false" ht="15" hidden="false" customHeight="true" outlineLevel="0" collapsed="false">
      <c r="C622" s="43"/>
      <c r="D622" s="6"/>
      <c r="F622" s="5"/>
      <c r="G622" s="5"/>
      <c r="H622" s="5"/>
    </row>
    <row r="623" customFormat="false" ht="15" hidden="false" customHeight="true" outlineLevel="0" collapsed="false">
      <c r="C623" s="43"/>
      <c r="D623" s="6"/>
      <c r="F623" s="5"/>
      <c r="G623" s="5"/>
      <c r="H623" s="5"/>
    </row>
    <row r="624" customFormat="false" ht="15" hidden="false" customHeight="true" outlineLevel="0" collapsed="false">
      <c r="C624" s="43"/>
      <c r="D624" s="6"/>
      <c r="F624" s="5"/>
      <c r="G624" s="5"/>
      <c r="H624" s="5"/>
    </row>
    <row r="625" customFormat="false" ht="15" hidden="false" customHeight="true" outlineLevel="0" collapsed="false">
      <c r="C625" s="43"/>
      <c r="D625" s="6"/>
      <c r="F625" s="5"/>
      <c r="G625" s="5"/>
      <c r="H625" s="5"/>
    </row>
    <row r="626" customFormat="false" ht="15" hidden="false" customHeight="true" outlineLevel="0" collapsed="false">
      <c r="C626" s="43"/>
      <c r="D626" s="6"/>
      <c r="F626" s="5"/>
      <c r="G626" s="5"/>
      <c r="H626" s="5"/>
    </row>
    <row r="627" customFormat="false" ht="15" hidden="false" customHeight="true" outlineLevel="0" collapsed="false">
      <c r="C627" s="43"/>
      <c r="D627" s="6"/>
      <c r="F627" s="5"/>
      <c r="G627" s="5"/>
      <c r="H627" s="5"/>
    </row>
    <row r="628" customFormat="false" ht="15" hidden="false" customHeight="true" outlineLevel="0" collapsed="false">
      <c r="C628" s="43"/>
      <c r="D628" s="6"/>
      <c r="F628" s="5"/>
      <c r="G628" s="5"/>
      <c r="H628" s="5"/>
    </row>
    <row r="629" customFormat="false" ht="15" hidden="false" customHeight="true" outlineLevel="0" collapsed="false">
      <c r="C629" s="43"/>
      <c r="D629" s="6"/>
      <c r="F629" s="5"/>
      <c r="G629" s="5"/>
      <c r="H629" s="5"/>
    </row>
    <row r="630" customFormat="false" ht="15" hidden="false" customHeight="true" outlineLevel="0" collapsed="false">
      <c r="C630" s="43"/>
      <c r="D630" s="6"/>
      <c r="F630" s="5"/>
      <c r="G630" s="5"/>
      <c r="H630" s="5"/>
    </row>
    <row r="631" customFormat="false" ht="15" hidden="false" customHeight="true" outlineLevel="0" collapsed="false">
      <c r="C631" s="43"/>
      <c r="D631" s="6"/>
      <c r="F631" s="5"/>
      <c r="G631" s="5"/>
      <c r="H631" s="5"/>
    </row>
    <row r="632" customFormat="false" ht="15" hidden="false" customHeight="true" outlineLevel="0" collapsed="false">
      <c r="C632" s="43"/>
      <c r="D632" s="6"/>
      <c r="F632" s="5"/>
      <c r="G632" s="5"/>
      <c r="H632" s="5"/>
    </row>
    <row r="633" customFormat="false" ht="15" hidden="false" customHeight="true" outlineLevel="0" collapsed="false">
      <c r="C633" s="43"/>
      <c r="D633" s="6"/>
      <c r="F633" s="5"/>
      <c r="G633" s="5"/>
      <c r="H633" s="5"/>
    </row>
    <row r="634" customFormat="false" ht="15" hidden="false" customHeight="true" outlineLevel="0" collapsed="false">
      <c r="C634" s="43"/>
      <c r="D634" s="6"/>
      <c r="F634" s="5"/>
      <c r="G634" s="5"/>
      <c r="H634" s="5"/>
    </row>
    <row r="635" customFormat="false" ht="15" hidden="false" customHeight="true" outlineLevel="0" collapsed="false">
      <c r="C635" s="43"/>
      <c r="D635" s="6"/>
      <c r="F635" s="5"/>
      <c r="G635" s="5"/>
      <c r="H635" s="5"/>
    </row>
    <row r="636" customFormat="false" ht="15" hidden="false" customHeight="true" outlineLevel="0" collapsed="false">
      <c r="C636" s="43"/>
      <c r="D636" s="6"/>
      <c r="F636" s="5"/>
      <c r="G636" s="5"/>
      <c r="H636" s="5"/>
    </row>
    <row r="637" customFormat="false" ht="15" hidden="false" customHeight="true" outlineLevel="0" collapsed="false">
      <c r="C637" s="43"/>
      <c r="D637" s="6"/>
      <c r="F637" s="5"/>
      <c r="G637" s="5"/>
      <c r="H637" s="5"/>
    </row>
    <row r="638" customFormat="false" ht="15" hidden="false" customHeight="true" outlineLevel="0" collapsed="false">
      <c r="C638" s="43"/>
      <c r="D638" s="6"/>
      <c r="F638" s="5"/>
      <c r="G638" s="5"/>
      <c r="H638" s="5"/>
    </row>
    <row r="639" customFormat="false" ht="15" hidden="false" customHeight="true" outlineLevel="0" collapsed="false">
      <c r="C639" s="43"/>
      <c r="D639" s="6"/>
      <c r="F639" s="5"/>
      <c r="G639" s="5"/>
      <c r="H639" s="5"/>
    </row>
    <row r="640" customFormat="false" ht="15" hidden="false" customHeight="true" outlineLevel="0" collapsed="false">
      <c r="C640" s="43"/>
      <c r="D640" s="6"/>
      <c r="F640" s="5"/>
      <c r="G640" s="5"/>
      <c r="H640" s="5"/>
    </row>
    <row r="641" customFormat="false" ht="15" hidden="false" customHeight="true" outlineLevel="0" collapsed="false">
      <c r="C641" s="43"/>
      <c r="D641" s="6"/>
      <c r="F641" s="5"/>
      <c r="G641" s="5"/>
      <c r="H641" s="5"/>
    </row>
    <row r="642" customFormat="false" ht="15" hidden="false" customHeight="true" outlineLevel="0" collapsed="false">
      <c r="C642" s="43"/>
      <c r="D642" s="6"/>
      <c r="F642" s="5"/>
      <c r="G642" s="5"/>
      <c r="H642" s="5"/>
    </row>
    <row r="643" customFormat="false" ht="15" hidden="false" customHeight="true" outlineLevel="0" collapsed="false">
      <c r="C643" s="43"/>
      <c r="D643" s="6"/>
      <c r="F643" s="5"/>
      <c r="G643" s="5"/>
      <c r="H643" s="5"/>
    </row>
    <row r="644" customFormat="false" ht="15" hidden="false" customHeight="true" outlineLevel="0" collapsed="false">
      <c r="C644" s="43"/>
      <c r="D644" s="6"/>
      <c r="F644" s="5"/>
      <c r="G644" s="5"/>
      <c r="H644" s="5"/>
    </row>
    <row r="645" customFormat="false" ht="15" hidden="false" customHeight="true" outlineLevel="0" collapsed="false">
      <c r="C645" s="43"/>
      <c r="D645" s="6"/>
      <c r="F645" s="5"/>
      <c r="G645" s="5"/>
      <c r="H645" s="5"/>
    </row>
    <row r="646" customFormat="false" ht="15" hidden="false" customHeight="true" outlineLevel="0" collapsed="false">
      <c r="C646" s="43"/>
      <c r="D646" s="6"/>
      <c r="F646" s="5"/>
      <c r="G646" s="5"/>
      <c r="H646" s="5"/>
    </row>
    <row r="647" customFormat="false" ht="15" hidden="false" customHeight="true" outlineLevel="0" collapsed="false">
      <c r="C647" s="43"/>
      <c r="D647" s="6"/>
      <c r="F647" s="5"/>
      <c r="G647" s="5"/>
      <c r="H647" s="5"/>
    </row>
    <row r="648" customFormat="false" ht="15" hidden="false" customHeight="true" outlineLevel="0" collapsed="false">
      <c r="C648" s="43"/>
      <c r="D648" s="6"/>
      <c r="F648" s="5"/>
      <c r="G648" s="5"/>
      <c r="H648" s="5"/>
    </row>
    <row r="649" customFormat="false" ht="15" hidden="false" customHeight="true" outlineLevel="0" collapsed="false">
      <c r="C649" s="43"/>
      <c r="D649" s="6"/>
      <c r="F649" s="5"/>
      <c r="G649" s="5"/>
      <c r="H649" s="5"/>
    </row>
    <row r="650" customFormat="false" ht="15" hidden="false" customHeight="true" outlineLevel="0" collapsed="false">
      <c r="C650" s="43"/>
      <c r="D650" s="6"/>
      <c r="F650" s="5"/>
      <c r="G650" s="5"/>
      <c r="H650" s="5"/>
    </row>
    <row r="651" customFormat="false" ht="15" hidden="false" customHeight="true" outlineLevel="0" collapsed="false">
      <c r="C651" s="43"/>
      <c r="D651" s="6"/>
      <c r="F651" s="5"/>
      <c r="G651" s="5"/>
      <c r="H651" s="5"/>
    </row>
    <row r="652" customFormat="false" ht="15" hidden="false" customHeight="true" outlineLevel="0" collapsed="false">
      <c r="C652" s="43"/>
      <c r="D652" s="6"/>
      <c r="F652" s="5"/>
      <c r="G652" s="5"/>
      <c r="H652" s="5"/>
    </row>
    <row r="653" customFormat="false" ht="15" hidden="false" customHeight="true" outlineLevel="0" collapsed="false">
      <c r="C653" s="43"/>
      <c r="D653" s="6"/>
      <c r="F653" s="5"/>
      <c r="G653" s="5"/>
      <c r="H653" s="5"/>
    </row>
    <row r="654" customFormat="false" ht="15" hidden="false" customHeight="true" outlineLevel="0" collapsed="false">
      <c r="C654" s="43"/>
      <c r="D654" s="6"/>
      <c r="F654" s="5"/>
      <c r="G654" s="5"/>
      <c r="H654" s="5"/>
    </row>
    <row r="655" customFormat="false" ht="15" hidden="false" customHeight="true" outlineLevel="0" collapsed="false">
      <c r="C655" s="43"/>
      <c r="D655" s="6"/>
      <c r="F655" s="5"/>
      <c r="G655" s="5"/>
      <c r="H655" s="5"/>
    </row>
    <row r="656" customFormat="false" ht="15" hidden="false" customHeight="true" outlineLevel="0" collapsed="false">
      <c r="C656" s="43"/>
      <c r="D656" s="6"/>
      <c r="F656" s="5"/>
      <c r="G656" s="5"/>
      <c r="H656" s="5"/>
    </row>
    <row r="657" customFormat="false" ht="15" hidden="false" customHeight="true" outlineLevel="0" collapsed="false">
      <c r="C657" s="43"/>
      <c r="D657" s="6"/>
      <c r="F657" s="5"/>
      <c r="G657" s="5"/>
      <c r="H657" s="5"/>
    </row>
    <row r="658" customFormat="false" ht="15" hidden="false" customHeight="true" outlineLevel="0" collapsed="false">
      <c r="C658" s="43"/>
      <c r="D658" s="6"/>
      <c r="F658" s="5"/>
      <c r="G658" s="5"/>
      <c r="H658" s="5"/>
    </row>
    <row r="659" customFormat="false" ht="15" hidden="false" customHeight="true" outlineLevel="0" collapsed="false">
      <c r="C659" s="43"/>
      <c r="D659" s="6"/>
      <c r="F659" s="5"/>
      <c r="G659" s="5"/>
      <c r="H659" s="5"/>
    </row>
    <row r="660" customFormat="false" ht="15" hidden="false" customHeight="true" outlineLevel="0" collapsed="false">
      <c r="C660" s="43"/>
      <c r="D660" s="6"/>
      <c r="F660" s="5"/>
      <c r="G660" s="5"/>
      <c r="H660" s="5"/>
    </row>
    <row r="661" customFormat="false" ht="15" hidden="false" customHeight="true" outlineLevel="0" collapsed="false">
      <c r="C661" s="43"/>
      <c r="D661" s="6"/>
      <c r="F661" s="5"/>
      <c r="G661" s="5"/>
      <c r="H661" s="5"/>
    </row>
    <row r="662" customFormat="false" ht="15" hidden="false" customHeight="true" outlineLevel="0" collapsed="false">
      <c r="C662" s="43"/>
      <c r="D662" s="6"/>
      <c r="F662" s="5"/>
      <c r="G662" s="5"/>
      <c r="H662" s="5"/>
    </row>
    <row r="663" customFormat="false" ht="15" hidden="false" customHeight="true" outlineLevel="0" collapsed="false">
      <c r="C663" s="43"/>
      <c r="D663" s="6"/>
      <c r="F663" s="5"/>
      <c r="G663" s="5"/>
      <c r="H663" s="5"/>
    </row>
    <row r="664" customFormat="false" ht="15" hidden="false" customHeight="true" outlineLevel="0" collapsed="false">
      <c r="C664" s="43"/>
      <c r="D664" s="6"/>
      <c r="F664" s="5"/>
      <c r="G664" s="5"/>
      <c r="H664" s="5"/>
    </row>
    <row r="665" customFormat="false" ht="15" hidden="false" customHeight="true" outlineLevel="0" collapsed="false">
      <c r="C665" s="43"/>
      <c r="D665" s="6"/>
      <c r="F665" s="5"/>
      <c r="G665" s="5"/>
      <c r="H665" s="5"/>
    </row>
    <row r="666" customFormat="false" ht="15" hidden="false" customHeight="true" outlineLevel="0" collapsed="false">
      <c r="C666" s="43"/>
      <c r="D666" s="6"/>
      <c r="F666" s="5"/>
      <c r="G666" s="5"/>
      <c r="H666" s="5"/>
    </row>
    <row r="667" customFormat="false" ht="15" hidden="false" customHeight="true" outlineLevel="0" collapsed="false">
      <c r="C667" s="43"/>
      <c r="D667" s="6"/>
      <c r="F667" s="5"/>
      <c r="G667" s="5"/>
      <c r="H667" s="5"/>
    </row>
    <row r="668" customFormat="false" ht="15" hidden="false" customHeight="true" outlineLevel="0" collapsed="false">
      <c r="C668" s="43"/>
      <c r="D668" s="6"/>
      <c r="F668" s="5"/>
      <c r="G668" s="5"/>
      <c r="H668" s="5"/>
    </row>
    <row r="669" customFormat="false" ht="15" hidden="false" customHeight="true" outlineLevel="0" collapsed="false">
      <c r="C669" s="43"/>
      <c r="D669" s="6"/>
      <c r="F669" s="5"/>
      <c r="G669" s="5"/>
      <c r="H669" s="5"/>
    </row>
    <row r="670" customFormat="false" ht="15" hidden="false" customHeight="true" outlineLevel="0" collapsed="false">
      <c r="C670" s="43"/>
      <c r="D670" s="6"/>
      <c r="F670" s="5"/>
      <c r="G670" s="5"/>
      <c r="H670" s="5"/>
    </row>
    <row r="671" customFormat="false" ht="15" hidden="false" customHeight="true" outlineLevel="0" collapsed="false">
      <c r="C671" s="43"/>
      <c r="D671" s="6"/>
      <c r="F671" s="5"/>
      <c r="G671" s="5"/>
      <c r="H671" s="5"/>
    </row>
    <row r="672" customFormat="false" ht="15" hidden="false" customHeight="true" outlineLevel="0" collapsed="false">
      <c r="C672" s="43"/>
      <c r="D672" s="6"/>
      <c r="F672" s="5"/>
      <c r="G672" s="5"/>
      <c r="H672" s="5"/>
    </row>
    <row r="673" customFormat="false" ht="15" hidden="false" customHeight="true" outlineLevel="0" collapsed="false">
      <c r="C673" s="43"/>
      <c r="D673" s="6"/>
      <c r="F673" s="5"/>
      <c r="G673" s="5"/>
      <c r="H673" s="5"/>
    </row>
    <row r="674" customFormat="false" ht="15" hidden="false" customHeight="true" outlineLevel="0" collapsed="false">
      <c r="C674" s="43"/>
      <c r="D674" s="6"/>
      <c r="F674" s="5"/>
      <c r="G674" s="5"/>
      <c r="H674" s="5"/>
    </row>
    <row r="675" customFormat="false" ht="15" hidden="false" customHeight="true" outlineLevel="0" collapsed="false">
      <c r="C675" s="43"/>
      <c r="D675" s="6"/>
      <c r="F675" s="5"/>
      <c r="G675" s="5"/>
      <c r="H675" s="5"/>
    </row>
    <row r="676" customFormat="false" ht="15" hidden="false" customHeight="true" outlineLevel="0" collapsed="false">
      <c r="C676" s="43"/>
      <c r="D676" s="6"/>
      <c r="F676" s="5"/>
      <c r="G676" s="5"/>
      <c r="H676" s="5"/>
    </row>
    <row r="677" customFormat="false" ht="15" hidden="false" customHeight="true" outlineLevel="0" collapsed="false">
      <c r="C677" s="43"/>
      <c r="D677" s="6"/>
      <c r="F677" s="5"/>
      <c r="G677" s="5"/>
      <c r="H677" s="5"/>
    </row>
    <row r="678" customFormat="false" ht="15" hidden="false" customHeight="true" outlineLevel="0" collapsed="false">
      <c r="C678" s="43"/>
      <c r="D678" s="6"/>
      <c r="F678" s="5"/>
      <c r="G678" s="5"/>
      <c r="H678" s="5"/>
    </row>
    <row r="679" customFormat="false" ht="15" hidden="false" customHeight="true" outlineLevel="0" collapsed="false">
      <c r="C679" s="43"/>
      <c r="D679" s="6"/>
      <c r="F679" s="5"/>
      <c r="G679" s="5"/>
      <c r="H679" s="5"/>
    </row>
    <row r="680" customFormat="false" ht="15" hidden="false" customHeight="true" outlineLevel="0" collapsed="false">
      <c r="C680" s="43"/>
      <c r="D680" s="6"/>
      <c r="F680" s="5"/>
      <c r="G680" s="5"/>
      <c r="H680" s="5"/>
    </row>
    <row r="681" customFormat="false" ht="15" hidden="false" customHeight="true" outlineLevel="0" collapsed="false">
      <c r="C681" s="43"/>
      <c r="D681" s="6"/>
      <c r="F681" s="5"/>
      <c r="G681" s="5"/>
      <c r="H681" s="5"/>
    </row>
    <row r="682" customFormat="false" ht="15" hidden="false" customHeight="true" outlineLevel="0" collapsed="false">
      <c r="C682" s="43"/>
      <c r="D682" s="6"/>
      <c r="F682" s="5"/>
      <c r="G682" s="5"/>
      <c r="H682" s="5"/>
    </row>
    <row r="683" customFormat="false" ht="15" hidden="false" customHeight="true" outlineLevel="0" collapsed="false">
      <c r="C683" s="43"/>
      <c r="D683" s="6"/>
      <c r="F683" s="5"/>
      <c r="G683" s="5"/>
      <c r="H683" s="5"/>
    </row>
    <row r="684" customFormat="false" ht="15" hidden="false" customHeight="true" outlineLevel="0" collapsed="false">
      <c r="C684" s="43"/>
      <c r="D684" s="6"/>
      <c r="F684" s="5"/>
      <c r="G684" s="5"/>
      <c r="H684" s="5"/>
    </row>
    <row r="685" customFormat="false" ht="15" hidden="false" customHeight="true" outlineLevel="0" collapsed="false">
      <c r="C685" s="43"/>
      <c r="D685" s="6"/>
      <c r="F685" s="5"/>
      <c r="G685" s="5"/>
      <c r="H685" s="5"/>
    </row>
    <row r="686" customFormat="false" ht="15" hidden="false" customHeight="true" outlineLevel="0" collapsed="false">
      <c r="C686" s="43"/>
      <c r="D686" s="6"/>
      <c r="F686" s="5"/>
      <c r="G686" s="5"/>
      <c r="H686" s="5"/>
    </row>
    <row r="687" customFormat="false" ht="15" hidden="false" customHeight="true" outlineLevel="0" collapsed="false">
      <c r="C687" s="43"/>
      <c r="D687" s="6"/>
      <c r="F687" s="5"/>
      <c r="G687" s="5"/>
      <c r="H687" s="5"/>
    </row>
    <row r="688" customFormat="false" ht="15" hidden="false" customHeight="true" outlineLevel="0" collapsed="false">
      <c r="C688" s="43"/>
      <c r="D688" s="6"/>
      <c r="F688" s="5"/>
      <c r="G688" s="5"/>
      <c r="H688" s="5"/>
    </row>
    <row r="689" customFormat="false" ht="15" hidden="false" customHeight="true" outlineLevel="0" collapsed="false">
      <c r="C689" s="43"/>
      <c r="D689" s="6"/>
      <c r="F689" s="5"/>
      <c r="G689" s="5"/>
      <c r="H689" s="5"/>
    </row>
    <row r="690" customFormat="false" ht="15" hidden="false" customHeight="true" outlineLevel="0" collapsed="false">
      <c r="C690" s="43"/>
      <c r="D690" s="6"/>
      <c r="F690" s="5"/>
      <c r="G690" s="5"/>
      <c r="H690" s="5"/>
    </row>
    <row r="691" customFormat="false" ht="15" hidden="false" customHeight="true" outlineLevel="0" collapsed="false">
      <c r="C691" s="43"/>
      <c r="D691" s="6"/>
      <c r="F691" s="5"/>
      <c r="G691" s="5"/>
      <c r="H691" s="5"/>
    </row>
    <row r="692" customFormat="false" ht="15" hidden="false" customHeight="true" outlineLevel="0" collapsed="false">
      <c r="C692" s="43"/>
      <c r="D692" s="6"/>
      <c r="F692" s="5"/>
      <c r="G692" s="5"/>
      <c r="H692" s="5"/>
    </row>
    <row r="693" customFormat="false" ht="15" hidden="false" customHeight="true" outlineLevel="0" collapsed="false">
      <c r="C693" s="43"/>
      <c r="D693" s="6"/>
      <c r="F693" s="5"/>
      <c r="G693" s="5"/>
      <c r="H693" s="5"/>
    </row>
    <row r="694" customFormat="false" ht="15" hidden="false" customHeight="true" outlineLevel="0" collapsed="false">
      <c r="C694" s="43"/>
      <c r="D694" s="6"/>
      <c r="F694" s="5"/>
      <c r="G694" s="5"/>
      <c r="H694" s="5"/>
    </row>
    <row r="695" customFormat="false" ht="15" hidden="false" customHeight="true" outlineLevel="0" collapsed="false">
      <c r="C695" s="43"/>
      <c r="D695" s="6"/>
      <c r="F695" s="5"/>
      <c r="G695" s="5"/>
      <c r="H695" s="5"/>
    </row>
    <row r="696" customFormat="false" ht="15" hidden="false" customHeight="true" outlineLevel="0" collapsed="false">
      <c r="C696" s="43"/>
      <c r="D696" s="6"/>
      <c r="F696" s="5"/>
      <c r="G696" s="5"/>
      <c r="H696" s="5"/>
    </row>
    <row r="697" customFormat="false" ht="15" hidden="false" customHeight="true" outlineLevel="0" collapsed="false">
      <c r="C697" s="43"/>
      <c r="D697" s="6"/>
      <c r="F697" s="5"/>
      <c r="G697" s="5"/>
      <c r="H697" s="5"/>
    </row>
    <row r="698" customFormat="false" ht="15" hidden="false" customHeight="true" outlineLevel="0" collapsed="false">
      <c r="C698" s="43"/>
      <c r="D698" s="6"/>
      <c r="F698" s="5"/>
      <c r="G698" s="5"/>
      <c r="H698" s="5"/>
    </row>
    <row r="699" customFormat="false" ht="15" hidden="false" customHeight="true" outlineLevel="0" collapsed="false">
      <c r="C699" s="43"/>
      <c r="D699" s="6"/>
      <c r="F699" s="5"/>
      <c r="G699" s="5"/>
      <c r="H699" s="5"/>
    </row>
    <row r="700" customFormat="false" ht="15" hidden="false" customHeight="true" outlineLevel="0" collapsed="false">
      <c r="C700" s="43"/>
      <c r="D700" s="6"/>
      <c r="F700" s="5"/>
      <c r="G700" s="5"/>
      <c r="H700" s="5"/>
    </row>
    <row r="701" customFormat="false" ht="15" hidden="false" customHeight="true" outlineLevel="0" collapsed="false">
      <c r="C701" s="43"/>
      <c r="D701" s="6"/>
      <c r="F701" s="5"/>
      <c r="G701" s="5"/>
      <c r="H701" s="5"/>
    </row>
    <row r="702" customFormat="false" ht="15" hidden="false" customHeight="true" outlineLevel="0" collapsed="false">
      <c r="C702" s="43"/>
      <c r="D702" s="6"/>
      <c r="F702" s="5"/>
      <c r="G702" s="5"/>
      <c r="H702" s="5"/>
    </row>
    <row r="703" customFormat="false" ht="15" hidden="false" customHeight="true" outlineLevel="0" collapsed="false">
      <c r="C703" s="43"/>
      <c r="D703" s="6"/>
      <c r="F703" s="5"/>
      <c r="G703" s="5"/>
      <c r="H703" s="5"/>
    </row>
    <row r="704" customFormat="false" ht="15" hidden="false" customHeight="true" outlineLevel="0" collapsed="false">
      <c r="C704" s="43"/>
      <c r="D704" s="6"/>
      <c r="F704" s="5"/>
      <c r="G704" s="5"/>
      <c r="H704" s="5"/>
    </row>
    <row r="705" customFormat="false" ht="15" hidden="false" customHeight="true" outlineLevel="0" collapsed="false">
      <c r="C705" s="43"/>
      <c r="D705" s="6"/>
      <c r="F705" s="5"/>
      <c r="G705" s="5"/>
      <c r="H705" s="5"/>
    </row>
    <row r="706" customFormat="false" ht="15" hidden="false" customHeight="true" outlineLevel="0" collapsed="false">
      <c r="C706" s="43"/>
      <c r="D706" s="6"/>
      <c r="F706" s="5"/>
      <c r="G706" s="5"/>
      <c r="H706" s="5"/>
    </row>
    <row r="707" customFormat="false" ht="15" hidden="false" customHeight="true" outlineLevel="0" collapsed="false">
      <c r="C707" s="43"/>
      <c r="D707" s="6"/>
      <c r="F707" s="5"/>
      <c r="G707" s="5"/>
      <c r="H707" s="5"/>
    </row>
    <row r="708" customFormat="false" ht="15" hidden="false" customHeight="true" outlineLevel="0" collapsed="false">
      <c r="C708" s="43"/>
      <c r="D708" s="6"/>
      <c r="F708" s="5"/>
      <c r="G708" s="5"/>
      <c r="H708" s="5"/>
    </row>
    <row r="709" customFormat="false" ht="15" hidden="false" customHeight="true" outlineLevel="0" collapsed="false">
      <c r="C709" s="43"/>
      <c r="D709" s="6"/>
      <c r="F709" s="5"/>
      <c r="G709" s="5"/>
      <c r="H709" s="5"/>
    </row>
    <row r="710" customFormat="false" ht="15" hidden="false" customHeight="true" outlineLevel="0" collapsed="false">
      <c r="C710" s="43"/>
      <c r="D710" s="6"/>
      <c r="F710" s="5"/>
      <c r="G710" s="5"/>
      <c r="H710" s="5"/>
    </row>
    <row r="711" customFormat="false" ht="15" hidden="false" customHeight="true" outlineLevel="0" collapsed="false">
      <c r="C711" s="43"/>
      <c r="D711" s="6"/>
      <c r="F711" s="5"/>
      <c r="G711" s="5"/>
      <c r="H711" s="5"/>
    </row>
    <row r="712" customFormat="false" ht="15" hidden="false" customHeight="true" outlineLevel="0" collapsed="false">
      <c r="C712" s="43"/>
      <c r="D712" s="6"/>
      <c r="F712" s="5"/>
      <c r="G712" s="5"/>
      <c r="H712" s="5"/>
    </row>
    <row r="713" customFormat="false" ht="15" hidden="false" customHeight="true" outlineLevel="0" collapsed="false">
      <c r="C713" s="43"/>
      <c r="D713" s="6"/>
      <c r="F713" s="5"/>
      <c r="G713" s="5"/>
      <c r="H713" s="5"/>
    </row>
    <row r="714" customFormat="false" ht="15" hidden="false" customHeight="true" outlineLevel="0" collapsed="false">
      <c r="C714" s="43"/>
      <c r="D714" s="6"/>
      <c r="F714" s="5"/>
      <c r="G714" s="5"/>
      <c r="H714" s="5"/>
    </row>
    <row r="715" customFormat="false" ht="15" hidden="false" customHeight="true" outlineLevel="0" collapsed="false">
      <c r="C715" s="43"/>
      <c r="D715" s="6"/>
      <c r="F715" s="5"/>
      <c r="G715" s="5"/>
      <c r="H715" s="5"/>
    </row>
    <row r="716" customFormat="false" ht="15" hidden="false" customHeight="true" outlineLevel="0" collapsed="false">
      <c r="C716" s="43"/>
      <c r="D716" s="6"/>
      <c r="F716" s="5"/>
      <c r="G716" s="5"/>
      <c r="H716" s="5"/>
    </row>
    <row r="717" customFormat="false" ht="15" hidden="false" customHeight="true" outlineLevel="0" collapsed="false">
      <c r="C717" s="43"/>
      <c r="D717" s="6"/>
      <c r="F717" s="5"/>
      <c r="G717" s="5"/>
      <c r="H717" s="5"/>
    </row>
    <row r="718" customFormat="false" ht="15" hidden="false" customHeight="true" outlineLevel="0" collapsed="false">
      <c r="C718" s="43"/>
      <c r="D718" s="6"/>
      <c r="F718" s="5"/>
      <c r="G718" s="5"/>
      <c r="H718" s="5"/>
    </row>
    <row r="719" customFormat="false" ht="15" hidden="false" customHeight="true" outlineLevel="0" collapsed="false">
      <c r="C719" s="43"/>
      <c r="D719" s="6"/>
      <c r="F719" s="5"/>
      <c r="G719" s="5"/>
      <c r="H719" s="5"/>
    </row>
    <row r="720" customFormat="false" ht="15" hidden="false" customHeight="true" outlineLevel="0" collapsed="false">
      <c r="C720" s="43"/>
      <c r="D720" s="6"/>
      <c r="F720" s="5"/>
      <c r="G720" s="5"/>
      <c r="H720" s="5"/>
    </row>
    <row r="721" customFormat="false" ht="15" hidden="false" customHeight="true" outlineLevel="0" collapsed="false">
      <c r="C721" s="43"/>
      <c r="D721" s="6"/>
      <c r="F721" s="5"/>
      <c r="G721" s="5"/>
      <c r="H721" s="5"/>
    </row>
    <row r="722" customFormat="false" ht="15" hidden="false" customHeight="true" outlineLevel="0" collapsed="false">
      <c r="C722" s="43"/>
      <c r="D722" s="6"/>
      <c r="F722" s="5"/>
      <c r="G722" s="5"/>
      <c r="H722" s="5"/>
    </row>
    <row r="723" customFormat="false" ht="15" hidden="false" customHeight="true" outlineLevel="0" collapsed="false">
      <c r="C723" s="43"/>
      <c r="D723" s="6"/>
      <c r="F723" s="5"/>
      <c r="G723" s="5"/>
      <c r="H723" s="5"/>
    </row>
    <row r="724" customFormat="false" ht="15" hidden="false" customHeight="true" outlineLevel="0" collapsed="false">
      <c r="C724" s="43"/>
      <c r="D724" s="6"/>
      <c r="F724" s="5"/>
      <c r="G724" s="5"/>
      <c r="H724" s="5"/>
    </row>
    <row r="725" customFormat="false" ht="15" hidden="false" customHeight="true" outlineLevel="0" collapsed="false">
      <c r="C725" s="43"/>
      <c r="D725" s="6"/>
      <c r="F725" s="5"/>
      <c r="G725" s="5"/>
      <c r="H725" s="5"/>
    </row>
    <row r="726" customFormat="false" ht="15" hidden="false" customHeight="true" outlineLevel="0" collapsed="false">
      <c r="C726" s="43"/>
      <c r="D726" s="6"/>
      <c r="F726" s="5"/>
      <c r="G726" s="5"/>
      <c r="H726" s="5"/>
    </row>
    <row r="727" customFormat="false" ht="15" hidden="false" customHeight="true" outlineLevel="0" collapsed="false">
      <c r="C727" s="43"/>
      <c r="D727" s="6"/>
      <c r="F727" s="5"/>
      <c r="G727" s="5"/>
      <c r="H727" s="5"/>
    </row>
    <row r="728" customFormat="false" ht="15" hidden="false" customHeight="true" outlineLevel="0" collapsed="false">
      <c r="C728" s="43"/>
      <c r="D728" s="6"/>
      <c r="F728" s="5"/>
      <c r="G728" s="5"/>
      <c r="H728" s="5"/>
    </row>
    <row r="729" customFormat="false" ht="15" hidden="false" customHeight="true" outlineLevel="0" collapsed="false">
      <c r="C729" s="43"/>
      <c r="D729" s="6"/>
      <c r="F729" s="5"/>
      <c r="G729" s="5"/>
      <c r="H729" s="5"/>
    </row>
    <row r="730" customFormat="false" ht="15" hidden="false" customHeight="true" outlineLevel="0" collapsed="false">
      <c r="C730" s="43"/>
      <c r="D730" s="6"/>
      <c r="F730" s="5"/>
      <c r="G730" s="5"/>
      <c r="H730" s="5"/>
    </row>
    <row r="731" customFormat="false" ht="15" hidden="false" customHeight="true" outlineLevel="0" collapsed="false">
      <c r="C731" s="43"/>
      <c r="D731" s="6"/>
      <c r="F731" s="5"/>
      <c r="G731" s="5"/>
      <c r="H731" s="5"/>
    </row>
    <row r="732" customFormat="false" ht="15" hidden="false" customHeight="true" outlineLevel="0" collapsed="false">
      <c r="C732" s="43"/>
      <c r="D732" s="6"/>
      <c r="F732" s="5"/>
      <c r="G732" s="5"/>
      <c r="H732" s="5"/>
    </row>
    <row r="733" customFormat="false" ht="15" hidden="false" customHeight="true" outlineLevel="0" collapsed="false">
      <c r="C733" s="43"/>
      <c r="D733" s="6"/>
      <c r="F733" s="5"/>
      <c r="G733" s="5"/>
      <c r="H733" s="5"/>
    </row>
    <row r="734" customFormat="false" ht="15" hidden="false" customHeight="true" outlineLevel="0" collapsed="false">
      <c r="C734" s="43"/>
      <c r="D734" s="6"/>
      <c r="F734" s="5"/>
      <c r="G734" s="5"/>
      <c r="H734" s="5"/>
    </row>
    <row r="735" customFormat="false" ht="15" hidden="false" customHeight="true" outlineLevel="0" collapsed="false">
      <c r="C735" s="43"/>
      <c r="D735" s="6"/>
      <c r="F735" s="5"/>
      <c r="G735" s="5"/>
      <c r="H735" s="5"/>
    </row>
    <row r="736" customFormat="false" ht="15" hidden="false" customHeight="true" outlineLevel="0" collapsed="false">
      <c r="C736" s="43"/>
      <c r="D736" s="6"/>
      <c r="F736" s="5"/>
      <c r="G736" s="5"/>
      <c r="H736" s="5"/>
    </row>
    <row r="737" customFormat="false" ht="15" hidden="false" customHeight="true" outlineLevel="0" collapsed="false">
      <c r="C737" s="43"/>
      <c r="D737" s="6"/>
      <c r="F737" s="5"/>
      <c r="G737" s="5"/>
      <c r="H737" s="5"/>
    </row>
    <row r="738" customFormat="false" ht="15" hidden="false" customHeight="true" outlineLevel="0" collapsed="false">
      <c r="C738" s="43"/>
      <c r="D738" s="6"/>
      <c r="F738" s="5"/>
      <c r="G738" s="5"/>
      <c r="H738" s="5"/>
    </row>
    <row r="739" customFormat="false" ht="15" hidden="false" customHeight="true" outlineLevel="0" collapsed="false">
      <c r="C739" s="43"/>
      <c r="D739" s="6"/>
      <c r="F739" s="5"/>
      <c r="G739" s="5"/>
      <c r="H739" s="5"/>
    </row>
    <row r="740" customFormat="false" ht="15" hidden="false" customHeight="true" outlineLevel="0" collapsed="false">
      <c r="C740" s="43"/>
      <c r="D740" s="6"/>
      <c r="F740" s="5"/>
      <c r="G740" s="5"/>
      <c r="H740" s="5"/>
    </row>
    <row r="741" customFormat="false" ht="15" hidden="false" customHeight="true" outlineLevel="0" collapsed="false">
      <c r="C741" s="43"/>
      <c r="D741" s="6"/>
      <c r="F741" s="5"/>
      <c r="G741" s="5"/>
      <c r="H741" s="5"/>
    </row>
    <row r="742" customFormat="false" ht="15" hidden="false" customHeight="true" outlineLevel="0" collapsed="false">
      <c r="C742" s="43"/>
      <c r="D742" s="6"/>
      <c r="F742" s="5"/>
      <c r="G742" s="5"/>
      <c r="H742" s="5"/>
    </row>
    <row r="743" customFormat="false" ht="15" hidden="false" customHeight="true" outlineLevel="0" collapsed="false">
      <c r="C743" s="43"/>
      <c r="D743" s="6"/>
      <c r="F743" s="5"/>
      <c r="G743" s="5"/>
      <c r="H743" s="5"/>
    </row>
    <row r="744" customFormat="false" ht="15" hidden="false" customHeight="true" outlineLevel="0" collapsed="false">
      <c r="C744" s="43"/>
      <c r="D744" s="6"/>
      <c r="F744" s="5"/>
      <c r="G744" s="5"/>
      <c r="H744" s="5"/>
    </row>
    <row r="745" customFormat="false" ht="15" hidden="false" customHeight="true" outlineLevel="0" collapsed="false">
      <c r="C745" s="43"/>
      <c r="D745" s="6"/>
      <c r="F745" s="5"/>
      <c r="G745" s="5"/>
      <c r="H745" s="5"/>
    </row>
    <row r="746" customFormat="false" ht="15" hidden="false" customHeight="true" outlineLevel="0" collapsed="false">
      <c r="C746" s="43"/>
      <c r="D746" s="6"/>
      <c r="F746" s="5"/>
      <c r="G746" s="5"/>
      <c r="H746" s="5"/>
    </row>
    <row r="747" customFormat="false" ht="15" hidden="false" customHeight="true" outlineLevel="0" collapsed="false">
      <c r="C747" s="43"/>
      <c r="D747" s="6"/>
      <c r="F747" s="5"/>
      <c r="G747" s="5"/>
      <c r="H747" s="5"/>
    </row>
    <row r="748" customFormat="false" ht="15" hidden="false" customHeight="true" outlineLevel="0" collapsed="false">
      <c r="C748" s="43"/>
      <c r="D748" s="6"/>
      <c r="F748" s="5"/>
      <c r="G748" s="5"/>
      <c r="H748" s="5"/>
    </row>
    <row r="749" customFormat="false" ht="15" hidden="false" customHeight="true" outlineLevel="0" collapsed="false">
      <c r="C749" s="43"/>
      <c r="D749" s="6"/>
      <c r="F749" s="5"/>
      <c r="G749" s="5"/>
      <c r="H749" s="5"/>
    </row>
    <row r="750" customFormat="false" ht="15" hidden="false" customHeight="true" outlineLevel="0" collapsed="false">
      <c r="C750" s="43"/>
      <c r="D750" s="6"/>
      <c r="F750" s="5"/>
      <c r="G750" s="5"/>
      <c r="H750" s="5"/>
    </row>
    <row r="751" customFormat="false" ht="15" hidden="false" customHeight="true" outlineLevel="0" collapsed="false">
      <c r="C751" s="43"/>
      <c r="D751" s="6"/>
      <c r="F751" s="5"/>
      <c r="G751" s="5"/>
      <c r="H751" s="5"/>
    </row>
    <row r="752" customFormat="false" ht="15" hidden="false" customHeight="true" outlineLevel="0" collapsed="false">
      <c r="C752" s="43"/>
      <c r="D752" s="6"/>
      <c r="F752" s="5"/>
      <c r="G752" s="5"/>
      <c r="H752" s="5"/>
    </row>
    <row r="753" customFormat="false" ht="15" hidden="false" customHeight="true" outlineLevel="0" collapsed="false">
      <c r="C753" s="43"/>
      <c r="D753" s="6"/>
      <c r="F753" s="5"/>
      <c r="G753" s="5"/>
      <c r="H753" s="5"/>
    </row>
    <row r="754" customFormat="false" ht="15" hidden="false" customHeight="true" outlineLevel="0" collapsed="false">
      <c r="C754" s="43"/>
      <c r="D754" s="6"/>
      <c r="F754" s="5"/>
      <c r="G754" s="5"/>
      <c r="H754" s="5"/>
    </row>
    <row r="755" customFormat="false" ht="15" hidden="false" customHeight="true" outlineLevel="0" collapsed="false">
      <c r="C755" s="43"/>
      <c r="D755" s="6"/>
      <c r="F755" s="5"/>
      <c r="G755" s="5"/>
      <c r="H755" s="5"/>
    </row>
    <row r="756" customFormat="false" ht="15" hidden="false" customHeight="true" outlineLevel="0" collapsed="false">
      <c r="C756" s="43"/>
      <c r="D756" s="6"/>
      <c r="F756" s="5"/>
      <c r="G756" s="5"/>
      <c r="H756" s="5"/>
    </row>
    <row r="757" customFormat="false" ht="15" hidden="false" customHeight="true" outlineLevel="0" collapsed="false">
      <c r="C757" s="43"/>
      <c r="D757" s="6"/>
      <c r="F757" s="5"/>
      <c r="G757" s="5"/>
      <c r="H757" s="5"/>
    </row>
    <row r="758" customFormat="false" ht="15" hidden="false" customHeight="true" outlineLevel="0" collapsed="false">
      <c r="C758" s="43"/>
      <c r="D758" s="6"/>
      <c r="F758" s="5"/>
      <c r="G758" s="5"/>
      <c r="H758" s="5"/>
    </row>
    <row r="759" customFormat="false" ht="15" hidden="false" customHeight="true" outlineLevel="0" collapsed="false">
      <c r="C759" s="43"/>
      <c r="D759" s="6"/>
      <c r="F759" s="5"/>
      <c r="G759" s="5"/>
      <c r="H759" s="5"/>
    </row>
    <row r="760" customFormat="false" ht="15" hidden="false" customHeight="true" outlineLevel="0" collapsed="false">
      <c r="C760" s="43"/>
      <c r="D760" s="6"/>
      <c r="F760" s="5"/>
      <c r="G760" s="5"/>
      <c r="H760" s="5"/>
    </row>
    <row r="761" customFormat="false" ht="15" hidden="false" customHeight="true" outlineLevel="0" collapsed="false">
      <c r="C761" s="43"/>
      <c r="D761" s="6"/>
      <c r="F761" s="5"/>
      <c r="G761" s="5"/>
      <c r="H761" s="5"/>
    </row>
    <row r="762" customFormat="false" ht="15" hidden="false" customHeight="true" outlineLevel="0" collapsed="false">
      <c r="C762" s="43"/>
      <c r="D762" s="6"/>
      <c r="F762" s="5"/>
      <c r="G762" s="5"/>
      <c r="H762" s="5"/>
    </row>
    <row r="763" customFormat="false" ht="15" hidden="false" customHeight="true" outlineLevel="0" collapsed="false">
      <c r="C763" s="43"/>
      <c r="D763" s="6"/>
      <c r="F763" s="5"/>
      <c r="G763" s="5"/>
      <c r="H763" s="5"/>
    </row>
    <row r="764" customFormat="false" ht="15" hidden="false" customHeight="true" outlineLevel="0" collapsed="false">
      <c r="C764" s="43"/>
      <c r="D764" s="6"/>
      <c r="F764" s="5"/>
      <c r="G764" s="5"/>
      <c r="H764" s="5"/>
    </row>
    <row r="765" customFormat="false" ht="15" hidden="false" customHeight="true" outlineLevel="0" collapsed="false">
      <c r="C765" s="43"/>
      <c r="D765" s="6"/>
      <c r="F765" s="5"/>
      <c r="G765" s="5"/>
      <c r="H765" s="5"/>
    </row>
    <row r="766" customFormat="false" ht="15" hidden="false" customHeight="true" outlineLevel="0" collapsed="false">
      <c r="C766" s="43"/>
      <c r="D766" s="6"/>
      <c r="F766" s="5"/>
      <c r="G766" s="5"/>
      <c r="H766" s="5"/>
    </row>
    <row r="767" customFormat="false" ht="15" hidden="false" customHeight="true" outlineLevel="0" collapsed="false">
      <c r="C767" s="43"/>
      <c r="D767" s="6"/>
      <c r="F767" s="5"/>
      <c r="G767" s="5"/>
      <c r="H767" s="5"/>
    </row>
    <row r="768" customFormat="false" ht="15" hidden="false" customHeight="true" outlineLevel="0" collapsed="false">
      <c r="C768" s="43"/>
      <c r="D768" s="6"/>
      <c r="F768" s="5"/>
      <c r="G768" s="5"/>
      <c r="H768" s="5"/>
    </row>
    <row r="769" customFormat="false" ht="15" hidden="false" customHeight="true" outlineLevel="0" collapsed="false">
      <c r="C769" s="43"/>
      <c r="D769" s="6"/>
      <c r="F769" s="5"/>
      <c r="G769" s="5"/>
      <c r="H769" s="5"/>
    </row>
    <row r="770" customFormat="false" ht="15" hidden="false" customHeight="true" outlineLevel="0" collapsed="false">
      <c r="C770" s="43"/>
      <c r="D770" s="6"/>
      <c r="F770" s="5"/>
      <c r="G770" s="5"/>
      <c r="H770" s="5"/>
    </row>
    <row r="771" customFormat="false" ht="15" hidden="false" customHeight="true" outlineLevel="0" collapsed="false">
      <c r="C771" s="43"/>
      <c r="D771" s="6"/>
      <c r="F771" s="5"/>
      <c r="G771" s="5"/>
      <c r="H771" s="5"/>
    </row>
    <row r="772" customFormat="false" ht="15" hidden="false" customHeight="true" outlineLevel="0" collapsed="false">
      <c r="C772" s="43"/>
      <c r="D772" s="6"/>
      <c r="F772" s="5"/>
      <c r="G772" s="5"/>
      <c r="H772" s="5"/>
    </row>
    <row r="773" customFormat="false" ht="15" hidden="false" customHeight="true" outlineLevel="0" collapsed="false">
      <c r="C773" s="43"/>
      <c r="D773" s="6"/>
      <c r="F773" s="5"/>
      <c r="G773" s="5"/>
      <c r="H773" s="5"/>
    </row>
    <row r="774" customFormat="false" ht="15" hidden="false" customHeight="true" outlineLevel="0" collapsed="false">
      <c r="C774" s="43"/>
      <c r="D774" s="6"/>
      <c r="F774" s="5"/>
      <c r="G774" s="5"/>
      <c r="H774" s="5"/>
    </row>
    <row r="775" customFormat="false" ht="15" hidden="false" customHeight="true" outlineLevel="0" collapsed="false">
      <c r="C775" s="43"/>
      <c r="D775" s="6"/>
      <c r="F775" s="5"/>
      <c r="G775" s="5"/>
      <c r="H775" s="5"/>
    </row>
    <row r="776" customFormat="false" ht="15" hidden="false" customHeight="true" outlineLevel="0" collapsed="false">
      <c r="C776" s="43"/>
      <c r="D776" s="6"/>
      <c r="F776" s="5"/>
      <c r="G776" s="5"/>
      <c r="H776" s="5"/>
    </row>
    <row r="777" customFormat="false" ht="15" hidden="false" customHeight="true" outlineLevel="0" collapsed="false">
      <c r="C777" s="43"/>
      <c r="D777" s="6"/>
      <c r="F777" s="5"/>
      <c r="G777" s="5"/>
      <c r="H777" s="5"/>
    </row>
    <row r="778" customFormat="false" ht="15" hidden="false" customHeight="true" outlineLevel="0" collapsed="false">
      <c r="C778" s="43"/>
      <c r="D778" s="6"/>
      <c r="F778" s="5"/>
      <c r="G778" s="5"/>
      <c r="H778" s="5"/>
    </row>
    <row r="779" customFormat="false" ht="15" hidden="false" customHeight="true" outlineLevel="0" collapsed="false">
      <c r="C779" s="43"/>
      <c r="D779" s="6"/>
      <c r="F779" s="5"/>
      <c r="G779" s="5"/>
      <c r="H779" s="5"/>
    </row>
    <row r="780" customFormat="false" ht="15" hidden="false" customHeight="true" outlineLevel="0" collapsed="false">
      <c r="C780" s="43"/>
      <c r="D780" s="6"/>
      <c r="F780" s="5"/>
      <c r="G780" s="5"/>
      <c r="H780" s="5"/>
    </row>
    <row r="781" customFormat="false" ht="15" hidden="false" customHeight="true" outlineLevel="0" collapsed="false">
      <c r="C781" s="43"/>
      <c r="D781" s="6"/>
      <c r="F781" s="5"/>
      <c r="G781" s="5"/>
      <c r="H781" s="5"/>
    </row>
    <row r="782" customFormat="false" ht="15" hidden="false" customHeight="true" outlineLevel="0" collapsed="false">
      <c r="C782" s="43"/>
      <c r="D782" s="6"/>
      <c r="F782" s="5"/>
      <c r="G782" s="5"/>
      <c r="H782" s="5"/>
    </row>
    <row r="783" customFormat="false" ht="15" hidden="false" customHeight="true" outlineLevel="0" collapsed="false">
      <c r="C783" s="43"/>
      <c r="D783" s="6"/>
      <c r="F783" s="5"/>
      <c r="G783" s="5"/>
      <c r="H783" s="5"/>
    </row>
    <row r="784" customFormat="false" ht="15" hidden="false" customHeight="true" outlineLevel="0" collapsed="false">
      <c r="C784" s="43"/>
      <c r="D784" s="6"/>
      <c r="F784" s="5"/>
      <c r="G784" s="5"/>
      <c r="H784" s="5"/>
    </row>
    <row r="785" customFormat="false" ht="15" hidden="false" customHeight="true" outlineLevel="0" collapsed="false">
      <c r="C785" s="43"/>
      <c r="D785" s="6"/>
      <c r="F785" s="5"/>
      <c r="G785" s="5"/>
      <c r="H785" s="5"/>
    </row>
    <row r="786" customFormat="false" ht="15" hidden="false" customHeight="true" outlineLevel="0" collapsed="false">
      <c r="C786" s="43"/>
      <c r="D786" s="6"/>
      <c r="F786" s="5"/>
      <c r="G786" s="5"/>
      <c r="H786" s="5"/>
    </row>
    <row r="787" customFormat="false" ht="15" hidden="false" customHeight="true" outlineLevel="0" collapsed="false">
      <c r="C787" s="43"/>
      <c r="D787" s="6"/>
      <c r="F787" s="5"/>
      <c r="G787" s="5"/>
      <c r="H787" s="5"/>
    </row>
    <row r="788" customFormat="false" ht="15" hidden="false" customHeight="true" outlineLevel="0" collapsed="false">
      <c r="C788" s="43"/>
      <c r="D788" s="6"/>
      <c r="F788" s="5"/>
      <c r="G788" s="5"/>
      <c r="H788" s="5"/>
    </row>
    <row r="789" customFormat="false" ht="15" hidden="false" customHeight="true" outlineLevel="0" collapsed="false">
      <c r="C789" s="43"/>
      <c r="D789" s="6"/>
      <c r="F789" s="5"/>
      <c r="G789" s="5"/>
      <c r="H789" s="5"/>
    </row>
    <row r="790" customFormat="false" ht="15" hidden="false" customHeight="true" outlineLevel="0" collapsed="false">
      <c r="C790" s="43"/>
      <c r="D790" s="6"/>
      <c r="F790" s="5"/>
      <c r="G790" s="5"/>
      <c r="H790" s="5"/>
    </row>
    <row r="791" customFormat="false" ht="15" hidden="false" customHeight="true" outlineLevel="0" collapsed="false">
      <c r="C791" s="43"/>
      <c r="D791" s="6"/>
      <c r="F791" s="5"/>
      <c r="G791" s="5"/>
      <c r="H791" s="5"/>
    </row>
    <row r="792" customFormat="false" ht="15" hidden="false" customHeight="true" outlineLevel="0" collapsed="false">
      <c r="C792" s="43"/>
      <c r="D792" s="6"/>
      <c r="F792" s="5"/>
      <c r="G792" s="5"/>
      <c r="H792" s="5"/>
    </row>
    <row r="793" customFormat="false" ht="15" hidden="false" customHeight="true" outlineLevel="0" collapsed="false">
      <c r="C793" s="43"/>
      <c r="D793" s="6"/>
      <c r="F793" s="5"/>
      <c r="G793" s="5"/>
      <c r="H793" s="5"/>
    </row>
    <row r="794" customFormat="false" ht="15" hidden="false" customHeight="true" outlineLevel="0" collapsed="false">
      <c r="C794" s="43"/>
      <c r="D794" s="6"/>
      <c r="F794" s="5"/>
      <c r="G794" s="5"/>
      <c r="H794" s="5"/>
    </row>
    <row r="795" customFormat="false" ht="15" hidden="false" customHeight="true" outlineLevel="0" collapsed="false">
      <c r="C795" s="43"/>
      <c r="D795" s="6"/>
      <c r="F795" s="5"/>
      <c r="G795" s="5"/>
      <c r="H795" s="5"/>
    </row>
    <row r="796" customFormat="false" ht="15" hidden="false" customHeight="true" outlineLevel="0" collapsed="false">
      <c r="C796" s="43"/>
      <c r="D796" s="6"/>
      <c r="F796" s="5"/>
      <c r="G796" s="5"/>
      <c r="H796" s="5"/>
    </row>
    <row r="797" customFormat="false" ht="15" hidden="false" customHeight="true" outlineLevel="0" collapsed="false">
      <c r="C797" s="43"/>
      <c r="D797" s="6"/>
      <c r="F797" s="5"/>
      <c r="G797" s="5"/>
      <c r="H797" s="5"/>
    </row>
    <row r="798" customFormat="false" ht="15" hidden="false" customHeight="true" outlineLevel="0" collapsed="false">
      <c r="C798" s="43"/>
      <c r="D798" s="6"/>
      <c r="F798" s="5"/>
      <c r="G798" s="5"/>
      <c r="H798" s="5"/>
    </row>
    <row r="799" customFormat="false" ht="15" hidden="false" customHeight="true" outlineLevel="0" collapsed="false">
      <c r="C799" s="43"/>
      <c r="D799" s="6"/>
      <c r="F799" s="5"/>
      <c r="G799" s="5"/>
      <c r="H799" s="5"/>
    </row>
    <row r="800" customFormat="false" ht="15" hidden="false" customHeight="true" outlineLevel="0" collapsed="false">
      <c r="C800" s="43"/>
      <c r="D800" s="6"/>
      <c r="F800" s="5"/>
      <c r="G800" s="5"/>
      <c r="H800" s="5"/>
    </row>
    <row r="801" customFormat="false" ht="15" hidden="false" customHeight="true" outlineLevel="0" collapsed="false">
      <c r="C801" s="43"/>
      <c r="D801" s="6"/>
      <c r="F801" s="5"/>
      <c r="G801" s="5"/>
      <c r="H801" s="5"/>
    </row>
    <row r="802" customFormat="false" ht="15" hidden="false" customHeight="true" outlineLevel="0" collapsed="false">
      <c r="C802" s="43"/>
      <c r="D802" s="6"/>
      <c r="F802" s="5"/>
      <c r="G802" s="5"/>
      <c r="H802" s="5"/>
    </row>
    <row r="803" customFormat="false" ht="15" hidden="false" customHeight="true" outlineLevel="0" collapsed="false">
      <c r="C803" s="43"/>
      <c r="D803" s="6"/>
      <c r="F803" s="5"/>
      <c r="G803" s="5"/>
      <c r="H803" s="5"/>
    </row>
    <row r="804" customFormat="false" ht="15" hidden="false" customHeight="true" outlineLevel="0" collapsed="false">
      <c r="C804" s="43"/>
      <c r="D804" s="6"/>
      <c r="F804" s="5"/>
      <c r="G804" s="5"/>
      <c r="H804" s="5"/>
    </row>
    <row r="805" customFormat="false" ht="15" hidden="false" customHeight="true" outlineLevel="0" collapsed="false">
      <c r="C805" s="43"/>
      <c r="D805" s="6"/>
      <c r="F805" s="5"/>
      <c r="G805" s="5"/>
      <c r="H805" s="5"/>
    </row>
    <row r="806" customFormat="false" ht="15" hidden="false" customHeight="true" outlineLevel="0" collapsed="false">
      <c r="C806" s="43"/>
      <c r="D806" s="6"/>
      <c r="F806" s="5"/>
      <c r="G806" s="5"/>
      <c r="H806" s="5"/>
    </row>
    <row r="807" customFormat="false" ht="15" hidden="false" customHeight="true" outlineLevel="0" collapsed="false">
      <c r="C807" s="43"/>
      <c r="D807" s="6"/>
      <c r="F807" s="5"/>
      <c r="G807" s="5"/>
      <c r="H807" s="5"/>
    </row>
    <row r="808" customFormat="false" ht="15" hidden="false" customHeight="true" outlineLevel="0" collapsed="false">
      <c r="C808" s="43"/>
      <c r="D808" s="6"/>
      <c r="F808" s="5"/>
      <c r="G808" s="5"/>
      <c r="H808" s="5"/>
    </row>
    <row r="809" customFormat="false" ht="15" hidden="false" customHeight="true" outlineLevel="0" collapsed="false">
      <c r="C809" s="43"/>
      <c r="D809" s="6"/>
      <c r="F809" s="5"/>
      <c r="G809" s="5"/>
      <c r="H809" s="5"/>
    </row>
    <row r="810" customFormat="false" ht="15" hidden="false" customHeight="true" outlineLevel="0" collapsed="false">
      <c r="C810" s="43"/>
      <c r="D810" s="6"/>
      <c r="F810" s="5"/>
      <c r="G810" s="5"/>
      <c r="H810" s="5"/>
    </row>
    <row r="811" customFormat="false" ht="15" hidden="false" customHeight="true" outlineLevel="0" collapsed="false">
      <c r="C811" s="43"/>
      <c r="D811" s="6"/>
      <c r="F811" s="5"/>
      <c r="G811" s="5"/>
      <c r="H811" s="5"/>
    </row>
    <row r="812" customFormat="false" ht="15" hidden="false" customHeight="true" outlineLevel="0" collapsed="false">
      <c r="C812" s="43"/>
      <c r="D812" s="6"/>
      <c r="F812" s="5"/>
      <c r="G812" s="5"/>
      <c r="H812" s="5"/>
    </row>
    <row r="813" customFormat="false" ht="15" hidden="false" customHeight="true" outlineLevel="0" collapsed="false">
      <c r="C813" s="43"/>
      <c r="D813" s="6"/>
      <c r="F813" s="5"/>
      <c r="G813" s="5"/>
      <c r="H813" s="5"/>
    </row>
    <row r="814" customFormat="false" ht="15" hidden="false" customHeight="true" outlineLevel="0" collapsed="false">
      <c r="C814" s="43"/>
      <c r="D814" s="6"/>
      <c r="F814" s="5"/>
      <c r="G814" s="5"/>
      <c r="H814" s="5"/>
    </row>
    <row r="815" customFormat="false" ht="15" hidden="false" customHeight="true" outlineLevel="0" collapsed="false">
      <c r="C815" s="43"/>
      <c r="D815" s="6"/>
      <c r="F815" s="5"/>
      <c r="G815" s="5"/>
      <c r="H815" s="5"/>
    </row>
    <row r="816" customFormat="false" ht="15" hidden="false" customHeight="true" outlineLevel="0" collapsed="false">
      <c r="C816" s="43"/>
      <c r="D816" s="6"/>
      <c r="F816" s="5"/>
      <c r="G816" s="5"/>
      <c r="H816" s="5"/>
    </row>
    <row r="817" customFormat="false" ht="15" hidden="false" customHeight="true" outlineLevel="0" collapsed="false">
      <c r="C817" s="43"/>
      <c r="D817" s="6"/>
      <c r="F817" s="5"/>
      <c r="G817" s="5"/>
      <c r="H817" s="5"/>
    </row>
    <row r="818" customFormat="false" ht="15" hidden="false" customHeight="true" outlineLevel="0" collapsed="false">
      <c r="C818" s="43"/>
      <c r="D818" s="6"/>
      <c r="F818" s="5"/>
      <c r="G818" s="5"/>
      <c r="H818" s="5"/>
    </row>
    <row r="819" customFormat="false" ht="15" hidden="false" customHeight="true" outlineLevel="0" collapsed="false">
      <c r="C819" s="43"/>
      <c r="D819" s="6"/>
      <c r="F819" s="5"/>
      <c r="G819" s="5"/>
      <c r="H819" s="5"/>
    </row>
    <row r="820" customFormat="false" ht="15" hidden="false" customHeight="true" outlineLevel="0" collapsed="false">
      <c r="C820" s="43"/>
      <c r="D820" s="6"/>
      <c r="F820" s="5"/>
      <c r="G820" s="5"/>
      <c r="H820" s="5"/>
    </row>
    <row r="821" customFormat="false" ht="15" hidden="false" customHeight="true" outlineLevel="0" collapsed="false">
      <c r="C821" s="43"/>
      <c r="D821" s="6"/>
      <c r="F821" s="5"/>
      <c r="G821" s="5"/>
      <c r="H821" s="5"/>
    </row>
    <row r="822" customFormat="false" ht="15" hidden="false" customHeight="true" outlineLevel="0" collapsed="false">
      <c r="C822" s="43"/>
      <c r="D822" s="6"/>
      <c r="F822" s="5"/>
      <c r="G822" s="5"/>
      <c r="H822" s="5"/>
    </row>
    <row r="823" customFormat="false" ht="15" hidden="false" customHeight="true" outlineLevel="0" collapsed="false">
      <c r="C823" s="43"/>
      <c r="D823" s="6"/>
      <c r="F823" s="5"/>
      <c r="G823" s="5"/>
      <c r="H823" s="5"/>
    </row>
    <row r="824" customFormat="false" ht="15" hidden="false" customHeight="true" outlineLevel="0" collapsed="false">
      <c r="C824" s="43"/>
      <c r="D824" s="6"/>
      <c r="F824" s="5"/>
      <c r="G824" s="5"/>
      <c r="H824" s="5"/>
    </row>
    <row r="825" customFormat="false" ht="15" hidden="false" customHeight="true" outlineLevel="0" collapsed="false">
      <c r="C825" s="43"/>
      <c r="D825" s="6"/>
      <c r="F825" s="5"/>
      <c r="G825" s="5"/>
      <c r="H825" s="5"/>
    </row>
    <row r="826" customFormat="false" ht="15" hidden="false" customHeight="true" outlineLevel="0" collapsed="false">
      <c r="C826" s="43"/>
      <c r="D826" s="6"/>
      <c r="F826" s="5"/>
      <c r="G826" s="5"/>
      <c r="H826" s="5"/>
    </row>
    <row r="827" customFormat="false" ht="15" hidden="false" customHeight="true" outlineLevel="0" collapsed="false">
      <c r="C827" s="43"/>
      <c r="D827" s="6"/>
      <c r="F827" s="5"/>
      <c r="G827" s="5"/>
      <c r="H827" s="5"/>
    </row>
    <row r="828" customFormat="false" ht="15" hidden="false" customHeight="true" outlineLevel="0" collapsed="false">
      <c r="C828" s="43"/>
      <c r="D828" s="6"/>
      <c r="F828" s="5"/>
      <c r="G828" s="5"/>
      <c r="H828" s="5"/>
    </row>
    <row r="829" customFormat="false" ht="15" hidden="false" customHeight="true" outlineLevel="0" collapsed="false">
      <c r="C829" s="43"/>
      <c r="D829" s="6"/>
      <c r="F829" s="5"/>
      <c r="G829" s="5"/>
      <c r="H829" s="5"/>
    </row>
    <row r="830" customFormat="false" ht="15" hidden="false" customHeight="true" outlineLevel="0" collapsed="false">
      <c r="C830" s="43"/>
      <c r="D830" s="6"/>
      <c r="F830" s="5"/>
      <c r="G830" s="5"/>
      <c r="H830" s="5"/>
    </row>
    <row r="831" customFormat="false" ht="15" hidden="false" customHeight="true" outlineLevel="0" collapsed="false">
      <c r="C831" s="43"/>
      <c r="D831" s="6"/>
      <c r="F831" s="5"/>
      <c r="G831" s="5"/>
      <c r="H831" s="5"/>
    </row>
    <row r="832" customFormat="false" ht="15" hidden="false" customHeight="true" outlineLevel="0" collapsed="false">
      <c r="C832" s="43"/>
      <c r="D832" s="6"/>
      <c r="F832" s="5"/>
      <c r="G832" s="5"/>
      <c r="H832" s="5"/>
    </row>
    <row r="833" customFormat="false" ht="15" hidden="false" customHeight="true" outlineLevel="0" collapsed="false">
      <c r="C833" s="43"/>
      <c r="D833" s="6"/>
      <c r="F833" s="5"/>
      <c r="G833" s="5"/>
      <c r="H833" s="5"/>
    </row>
    <row r="834" customFormat="false" ht="15" hidden="false" customHeight="true" outlineLevel="0" collapsed="false">
      <c r="C834" s="43"/>
      <c r="D834" s="6"/>
      <c r="F834" s="5"/>
      <c r="G834" s="5"/>
      <c r="H834" s="5"/>
    </row>
    <row r="835" customFormat="false" ht="15" hidden="false" customHeight="true" outlineLevel="0" collapsed="false">
      <c r="C835" s="43"/>
      <c r="D835" s="6"/>
      <c r="F835" s="5"/>
      <c r="G835" s="5"/>
      <c r="H835" s="5"/>
    </row>
    <row r="836" customFormat="false" ht="15" hidden="false" customHeight="true" outlineLevel="0" collapsed="false">
      <c r="C836" s="43"/>
      <c r="D836" s="6"/>
      <c r="F836" s="5"/>
      <c r="G836" s="5"/>
      <c r="H836" s="5"/>
    </row>
    <row r="837" customFormat="false" ht="15" hidden="false" customHeight="true" outlineLevel="0" collapsed="false">
      <c r="C837" s="43"/>
      <c r="D837" s="6"/>
      <c r="F837" s="5"/>
      <c r="G837" s="5"/>
      <c r="H837" s="5"/>
    </row>
    <row r="838" customFormat="false" ht="15" hidden="false" customHeight="true" outlineLevel="0" collapsed="false">
      <c r="C838" s="43"/>
      <c r="D838" s="6"/>
      <c r="F838" s="5"/>
      <c r="G838" s="5"/>
      <c r="H838" s="5"/>
    </row>
    <row r="839" customFormat="false" ht="15" hidden="false" customHeight="true" outlineLevel="0" collapsed="false">
      <c r="C839" s="43"/>
      <c r="D839" s="6"/>
      <c r="F839" s="5"/>
      <c r="G839" s="5"/>
      <c r="H839" s="5"/>
    </row>
    <row r="840" customFormat="false" ht="15" hidden="false" customHeight="true" outlineLevel="0" collapsed="false">
      <c r="C840" s="43"/>
      <c r="D840" s="6"/>
      <c r="F840" s="5"/>
      <c r="G840" s="5"/>
      <c r="H840" s="5"/>
    </row>
    <row r="841" customFormat="false" ht="15" hidden="false" customHeight="true" outlineLevel="0" collapsed="false">
      <c r="C841" s="43"/>
      <c r="D841" s="6"/>
      <c r="F841" s="5"/>
      <c r="G841" s="5"/>
      <c r="H841" s="5"/>
    </row>
    <row r="842" customFormat="false" ht="15" hidden="false" customHeight="true" outlineLevel="0" collapsed="false">
      <c r="C842" s="43"/>
      <c r="D842" s="6"/>
      <c r="F842" s="5"/>
      <c r="G842" s="5"/>
      <c r="H842" s="5"/>
    </row>
    <row r="843" customFormat="false" ht="15" hidden="false" customHeight="true" outlineLevel="0" collapsed="false">
      <c r="C843" s="43"/>
      <c r="D843" s="6"/>
      <c r="F843" s="5"/>
      <c r="G843" s="5"/>
      <c r="H843" s="5"/>
    </row>
    <row r="844" customFormat="false" ht="15" hidden="false" customHeight="true" outlineLevel="0" collapsed="false">
      <c r="C844" s="43"/>
      <c r="D844" s="6"/>
      <c r="F844" s="5"/>
      <c r="G844" s="5"/>
      <c r="H844" s="5"/>
    </row>
    <row r="845" customFormat="false" ht="15" hidden="false" customHeight="true" outlineLevel="0" collapsed="false">
      <c r="C845" s="43"/>
      <c r="D845" s="6"/>
      <c r="F845" s="5"/>
      <c r="G845" s="5"/>
      <c r="H845" s="5"/>
    </row>
    <row r="846" customFormat="false" ht="15" hidden="false" customHeight="true" outlineLevel="0" collapsed="false">
      <c r="C846" s="43"/>
      <c r="D846" s="6"/>
      <c r="F846" s="5"/>
      <c r="G846" s="5"/>
      <c r="H846" s="5"/>
    </row>
    <row r="847" customFormat="false" ht="15" hidden="false" customHeight="true" outlineLevel="0" collapsed="false">
      <c r="C847" s="43"/>
      <c r="D847" s="6"/>
      <c r="F847" s="5"/>
      <c r="G847" s="5"/>
      <c r="H847" s="5"/>
    </row>
    <row r="848" customFormat="false" ht="15" hidden="false" customHeight="true" outlineLevel="0" collapsed="false">
      <c r="C848" s="43"/>
      <c r="D848" s="6"/>
      <c r="F848" s="5"/>
      <c r="G848" s="5"/>
      <c r="H848" s="5"/>
    </row>
    <row r="849" customFormat="false" ht="15" hidden="false" customHeight="true" outlineLevel="0" collapsed="false">
      <c r="C849" s="43"/>
      <c r="D849" s="6"/>
      <c r="F849" s="5"/>
      <c r="G849" s="5"/>
      <c r="H849" s="5"/>
    </row>
    <row r="850" customFormat="false" ht="15" hidden="false" customHeight="true" outlineLevel="0" collapsed="false">
      <c r="C850" s="43"/>
      <c r="D850" s="6"/>
      <c r="F850" s="5"/>
      <c r="G850" s="5"/>
      <c r="H850" s="5"/>
    </row>
    <row r="851" customFormat="false" ht="15" hidden="false" customHeight="true" outlineLevel="0" collapsed="false">
      <c r="C851" s="43"/>
      <c r="D851" s="6"/>
      <c r="F851" s="5"/>
      <c r="G851" s="5"/>
      <c r="H851" s="5"/>
    </row>
    <row r="852" customFormat="false" ht="15" hidden="false" customHeight="true" outlineLevel="0" collapsed="false">
      <c r="C852" s="43"/>
      <c r="D852" s="6"/>
      <c r="F852" s="5"/>
      <c r="G852" s="5"/>
      <c r="H852" s="5"/>
    </row>
    <row r="853" customFormat="false" ht="15" hidden="false" customHeight="true" outlineLevel="0" collapsed="false">
      <c r="C853" s="43"/>
      <c r="D853" s="6"/>
      <c r="F853" s="5"/>
      <c r="G853" s="5"/>
      <c r="H853" s="5"/>
    </row>
    <row r="854" customFormat="false" ht="15" hidden="false" customHeight="true" outlineLevel="0" collapsed="false">
      <c r="C854" s="43"/>
      <c r="D854" s="6"/>
      <c r="F854" s="5"/>
      <c r="G854" s="5"/>
      <c r="H854" s="5"/>
    </row>
    <row r="855" customFormat="false" ht="15" hidden="false" customHeight="true" outlineLevel="0" collapsed="false">
      <c r="C855" s="43"/>
      <c r="D855" s="6"/>
      <c r="F855" s="5"/>
      <c r="G855" s="5"/>
      <c r="H855" s="5"/>
    </row>
    <row r="856" customFormat="false" ht="15" hidden="false" customHeight="true" outlineLevel="0" collapsed="false">
      <c r="C856" s="43"/>
      <c r="D856" s="6"/>
      <c r="F856" s="5"/>
      <c r="G856" s="5"/>
      <c r="H856" s="5"/>
    </row>
    <row r="857" customFormat="false" ht="15" hidden="false" customHeight="true" outlineLevel="0" collapsed="false">
      <c r="C857" s="43"/>
      <c r="D857" s="6"/>
      <c r="F857" s="5"/>
      <c r="G857" s="5"/>
      <c r="H857" s="5"/>
    </row>
    <row r="858" customFormat="false" ht="15" hidden="false" customHeight="true" outlineLevel="0" collapsed="false">
      <c r="C858" s="43"/>
      <c r="D858" s="6"/>
      <c r="F858" s="5"/>
      <c r="G858" s="5"/>
      <c r="H858" s="5"/>
    </row>
    <row r="859" customFormat="false" ht="15" hidden="false" customHeight="true" outlineLevel="0" collapsed="false">
      <c r="C859" s="43"/>
      <c r="D859" s="6"/>
      <c r="F859" s="5"/>
      <c r="G859" s="5"/>
      <c r="H859" s="5"/>
    </row>
    <row r="860" customFormat="false" ht="15" hidden="false" customHeight="true" outlineLevel="0" collapsed="false">
      <c r="C860" s="43"/>
      <c r="D860" s="6"/>
      <c r="F860" s="5"/>
      <c r="G860" s="5"/>
      <c r="H860" s="5"/>
    </row>
    <row r="861" customFormat="false" ht="15" hidden="false" customHeight="true" outlineLevel="0" collapsed="false">
      <c r="C861" s="43"/>
      <c r="D861" s="6"/>
      <c r="F861" s="5"/>
      <c r="G861" s="5"/>
      <c r="H861" s="5"/>
    </row>
    <row r="862" customFormat="false" ht="15" hidden="false" customHeight="true" outlineLevel="0" collapsed="false">
      <c r="C862" s="43"/>
      <c r="D862" s="6"/>
      <c r="F862" s="5"/>
      <c r="G862" s="5"/>
      <c r="H862" s="5"/>
    </row>
    <row r="863" customFormat="false" ht="15" hidden="false" customHeight="true" outlineLevel="0" collapsed="false">
      <c r="C863" s="43"/>
      <c r="D863" s="6"/>
      <c r="F863" s="5"/>
      <c r="G863" s="5"/>
      <c r="H863" s="5"/>
    </row>
    <row r="864" customFormat="false" ht="15" hidden="false" customHeight="true" outlineLevel="0" collapsed="false">
      <c r="C864" s="43"/>
      <c r="D864" s="6"/>
      <c r="F864" s="5"/>
      <c r="G864" s="5"/>
      <c r="H864" s="5"/>
    </row>
    <row r="865" customFormat="false" ht="15" hidden="false" customHeight="true" outlineLevel="0" collapsed="false">
      <c r="C865" s="43"/>
      <c r="D865" s="6"/>
      <c r="F865" s="5"/>
      <c r="G865" s="5"/>
      <c r="H865" s="5"/>
    </row>
    <row r="866" customFormat="false" ht="15" hidden="false" customHeight="true" outlineLevel="0" collapsed="false">
      <c r="C866" s="43"/>
      <c r="D866" s="6"/>
      <c r="F866" s="5"/>
      <c r="G866" s="5"/>
      <c r="H866" s="5"/>
    </row>
    <row r="867" customFormat="false" ht="15" hidden="false" customHeight="true" outlineLevel="0" collapsed="false">
      <c r="C867" s="43"/>
      <c r="D867" s="6"/>
      <c r="F867" s="5"/>
      <c r="G867" s="5"/>
      <c r="H867" s="5"/>
    </row>
    <row r="868" customFormat="false" ht="15" hidden="false" customHeight="true" outlineLevel="0" collapsed="false">
      <c r="C868" s="43"/>
      <c r="D868" s="6"/>
      <c r="F868" s="5"/>
      <c r="G868" s="5"/>
      <c r="H868" s="5"/>
    </row>
    <row r="869" customFormat="false" ht="15" hidden="false" customHeight="true" outlineLevel="0" collapsed="false">
      <c r="C869" s="43"/>
      <c r="D869" s="6"/>
      <c r="F869" s="5"/>
      <c r="G869" s="5"/>
      <c r="H869" s="5"/>
    </row>
    <row r="870" customFormat="false" ht="15" hidden="false" customHeight="true" outlineLevel="0" collapsed="false">
      <c r="C870" s="43"/>
      <c r="D870" s="6"/>
      <c r="F870" s="5"/>
      <c r="G870" s="5"/>
      <c r="H870" s="5"/>
    </row>
    <row r="871" customFormat="false" ht="15" hidden="false" customHeight="true" outlineLevel="0" collapsed="false">
      <c r="C871" s="43"/>
      <c r="D871" s="6"/>
      <c r="F871" s="5"/>
      <c r="G871" s="5"/>
      <c r="H871" s="5"/>
    </row>
    <row r="872" customFormat="false" ht="15" hidden="false" customHeight="true" outlineLevel="0" collapsed="false">
      <c r="C872" s="43"/>
      <c r="D872" s="6"/>
      <c r="F872" s="5"/>
      <c r="G872" s="5"/>
      <c r="H872" s="5"/>
    </row>
    <row r="873" customFormat="false" ht="15" hidden="false" customHeight="true" outlineLevel="0" collapsed="false">
      <c r="C873" s="43"/>
      <c r="D873" s="6"/>
      <c r="F873" s="5"/>
      <c r="G873" s="5"/>
      <c r="H873" s="5"/>
    </row>
    <row r="874" customFormat="false" ht="15" hidden="false" customHeight="true" outlineLevel="0" collapsed="false">
      <c r="C874" s="43"/>
      <c r="D874" s="6"/>
      <c r="F874" s="5"/>
      <c r="G874" s="5"/>
      <c r="H874" s="5"/>
    </row>
    <row r="875" customFormat="false" ht="15" hidden="false" customHeight="true" outlineLevel="0" collapsed="false">
      <c r="C875" s="43"/>
      <c r="D875" s="6"/>
      <c r="F875" s="5"/>
      <c r="G875" s="5"/>
      <c r="H875" s="5"/>
    </row>
    <row r="876" customFormat="false" ht="15" hidden="false" customHeight="true" outlineLevel="0" collapsed="false">
      <c r="C876" s="43"/>
      <c r="D876" s="6"/>
      <c r="F876" s="5"/>
      <c r="G876" s="5"/>
      <c r="H876" s="5"/>
    </row>
    <row r="877" customFormat="false" ht="15" hidden="false" customHeight="true" outlineLevel="0" collapsed="false">
      <c r="C877" s="43"/>
      <c r="D877" s="6"/>
      <c r="F877" s="5"/>
      <c r="G877" s="5"/>
      <c r="H877" s="5"/>
    </row>
    <row r="878" customFormat="false" ht="15" hidden="false" customHeight="true" outlineLevel="0" collapsed="false">
      <c r="C878" s="43"/>
      <c r="D878" s="6"/>
      <c r="F878" s="5"/>
      <c r="G878" s="5"/>
      <c r="H878" s="5"/>
    </row>
    <row r="879" customFormat="false" ht="15" hidden="false" customHeight="true" outlineLevel="0" collapsed="false">
      <c r="C879" s="43"/>
      <c r="D879" s="6"/>
      <c r="F879" s="5"/>
      <c r="G879" s="5"/>
      <c r="H879" s="5"/>
    </row>
    <row r="880" customFormat="false" ht="15" hidden="false" customHeight="true" outlineLevel="0" collapsed="false">
      <c r="C880" s="43"/>
      <c r="D880" s="6"/>
      <c r="F880" s="5"/>
      <c r="G880" s="5"/>
      <c r="H880" s="5"/>
    </row>
    <row r="881" customFormat="false" ht="15" hidden="false" customHeight="true" outlineLevel="0" collapsed="false">
      <c r="C881" s="43"/>
      <c r="D881" s="6"/>
      <c r="F881" s="5"/>
      <c r="G881" s="5"/>
      <c r="H881" s="5"/>
    </row>
    <row r="882" customFormat="false" ht="15" hidden="false" customHeight="true" outlineLevel="0" collapsed="false">
      <c r="C882" s="43"/>
      <c r="D882" s="6"/>
      <c r="F882" s="5"/>
      <c r="G882" s="5"/>
      <c r="H882" s="5"/>
    </row>
    <row r="883" customFormat="false" ht="15" hidden="false" customHeight="true" outlineLevel="0" collapsed="false">
      <c r="C883" s="43"/>
      <c r="D883" s="6"/>
      <c r="F883" s="5"/>
      <c r="G883" s="5"/>
      <c r="H883" s="5"/>
    </row>
    <row r="884" customFormat="false" ht="15" hidden="false" customHeight="true" outlineLevel="0" collapsed="false">
      <c r="C884" s="43"/>
      <c r="D884" s="6"/>
      <c r="F884" s="5"/>
      <c r="G884" s="5"/>
      <c r="H884" s="5"/>
    </row>
    <row r="885" customFormat="false" ht="15" hidden="false" customHeight="true" outlineLevel="0" collapsed="false">
      <c r="C885" s="43"/>
      <c r="D885" s="6"/>
      <c r="F885" s="5"/>
      <c r="G885" s="5"/>
      <c r="H885" s="5"/>
    </row>
    <row r="886" customFormat="false" ht="15" hidden="false" customHeight="true" outlineLevel="0" collapsed="false">
      <c r="C886" s="43"/>
      <c r="D886" s="6"/>
      <c r="F886" s="5"/>
      <c r="G886" s="5"/>
      <c r="H886" s="5"/>
    </row>
    <row r="887" customFormat="false" ht="15" hidden="false" customHeight="true" outlineLevel="0" collapsed="false">
      <c r="C887" s="43"/>
      <c r="D887" s="6"/>
      <c r="F887" s="5"/>
      <c r="G887" s="5"/>
      <c r="H887" s="5"/>
    </row>
    <row r="888" customFormat="false" ht="15" hidden="false" customHeight="true" outlineLevel="0" collapsed="false">
      <c r="C888" s="43"/>
      <c r="D888" s="6"/>
      <c r="F888" s="5"/>
      <c r="G888" s="5"/>
      <c r="H888" s="5"/>
    </row>
    <row r="889" customFormat="false" ht="15" hidden="false" customHeight="true" outlineLevel="0" collapsed="false">
      <c r="C889" s="43"/>
      <c r="D889" s="6"/>
      <c r="F889" s="5"/>
      <c r="G889" s="5"/>
      <c r="H889" s="5"/>
    </row>
    <row r="890" customFormat="false" ht="15" hidden="false" customHeight="true" outlineLevel="0" collapsed="false">
      <c r="C890" s="43"/>
      <c r="D890" s="6"/>
      <c r="F890" s="5"/>
      <c r="G890" s="5"/>
      <c r="H890" s="5"/>
    </row>
    <row r="891" customFormat="false" ht="15" hidden="false" customHeight="true" outlineLevel="0" collapsed="false">
      <c r="C891" s="43"/>
      <c r="D891" s="6"/>
      <c r="F891" s="5"/>
      <c r="G891" s="5"/>
      <c r="H891" s="5"/>
    </row>
    <row r="892" customFormat="false" ht="15" hidden="false" customHeight="true" outlineLevel="0" collapsed="false">
      <c r="C892" s="43"/>
      <c r="D892" s="6"/>
      <c r="F892" s="5"/>
      <c r="G892" s="5"/>
      <c r="H892" s="5"/>
    </row>
    <row r="893" customFormat="false" ht="15" hidden="false" customHeight="true" outlineLevel="0" collapsed="false">
      <c r="C893" s="43"/>
      <c r="D893" s="6"/>
      <c r="F893" s="5"/>
      <c r="G893" s="5"/>
      <c r="H893" s="5"/>
    </row>
    <row r="894" customFormat="false" ht="15" hidden="false" customHeight="true" outlineLevel="0" collapsed="false">
      <c r="C894" s="43"/>
      <c r="D894" s="6"/>
      <c r="F894" s="5"/>
      <c r="G894" s="5"/>
      <c r="H894" s="5"/>
    </row>
    <row r="895" customFormat="false" ht="15" hidden="false" customHeight="true" outlineLevel="0" collapsed="false">
      <c r="C895" s="43"/>
      <c r="D895" s="6"/>
      <c r="F895" s="5"/>
      <c r="G895" s="5"/>
      <c r="H895" s="5"/>
    </row>
    <row r="896" customFormat="false" ht="15" hidden="false" customHeight="true" outlineLevel="0" collapsed="false">
      <c r="C896" s="43"/>
      <c r="D896" s="6"/>
      <c r="F896" s="5"/>
      <c r="G896" s="5"/>
      <c r="H896" s="5"/>
    </row>
    <row r="897" customFormat="false" ht="15" hidden="false" customHeight="true" outlineLevel="0" collapsed="false">
      <c r="C897" s="43"/>
      <c r="D897" s="6"/>
      <c r="F897" s="5"/>
      <c r="G897" s="5"/>
      <c r="H897" s="5"/>
    </row>
    <row r="898" customFormat="false" ht="15" hidden="false" customHeight="true" outlineLevel="0" collapsed="false">
      <c r="C898" s="43"/>
      <c r="D898" s="6"/>
      <c r="F898" s="5"/>
      <c r="G898" s="5"/>
      <c r="H898" s="5"/>
    </row>
    <row r="899" customFormat="false" ht="15" hidden="false" customHeight="true" outlineLevel="0" collapsed="false">
      <c r="C899" s="43"/>
      <c r="D899" s="6"/>
      <c r="F899" s="5"/>
      <c r="G899" s="5"/>
      <c r="H899" s="5"/>
    </row>
    <row r="900" customFormat="false" ht="15" hidden="false" customHeight="true" outlineLevel="0" collapsed="false">
      <c r="C900" s="43"/>
      <c r="D900" s="6"/>
      <c r="F900" s="5"/>
      <c r="G900" s="5"/>
      <c r="H900" s="5"/>
    </row>
    <row r="901" customFormat="false" ht="15" hidden="false" customHeight="true" outlineLevel="0" collapsed="false">
      <c r="C901" s="43"/>
      <c r="D901" s="6"/>
      <c r="F901" s="5"/>
      <c r="G901" s="5"/>
      <c r="H901" s="5"/>
    </row>
    <row r="902" customFormat="false" ht="15" hidden="false" customHeight="true" outlineLevel="0" collapsed="false">
      <c r="C902" s="43"/>
      <c r="D902" s="6"/>
      <c r="F902" s="5"/>
      <c r="G902" s="5"/>
      <c r="H902" s="5"/>
    </row>
    <row r="903" customFormat="false" ht="15" hidden="false" customHeight="true" outlineLevel="0" collapsed="false">
      <c r="C903" s="43"/>
      <c r="D903" s="6"/>
      <c r="F903" s="5"/>
      <c r="G903" s="5"/>
      <c r="H903" s="5"/>
    </row>
    <row r="904" customFormat="false" ht="15" hidden="false" customHeight="true" outlineLevel="0" collapsed="false">
      <c r="C904" s="43"/>
      <c r="D904" s="6"/>
      <c r="F904" s="5"/>
      <c r="G904" s="5"/>
      <c r="H904" s="5"/>
    </row>
    <row r="905" customFormat="false" ht="15" hidden="false" customHeight="true" outlineLevel="0" collapsed="false">
      <c r="C905" s="43"/>
      <c r="D905" s="6"/>
      <c r="F905" s="5"/>
      <c r="G905" s="5"/>
      <c r="H905" s="5"/>
    </row>
    <row r="906" customFormat="false" ht="15" hidden="false" customHeight="true" outlineLevel="0" collapsed="false">
      <c r="C906" s="43"/>
      <c r="D906" s="6"/>
      <c r="F906" s="5"/>
      <c r="G906" s="5"/>
      <c r="H906" s="5"/>
    </row>
    <row r="907" customFormat="false" ht="15" hidden="false" customHeight="true" outlineLevel="0" collapsed="false">
      <c r="C907" s="43"/>
      <c r="D907" s="6"/>
      <c r="F907" s="5"/>
      <c r="G907" s="5"/>
      <c r="H907" s="5"/>
    </row>
    <row r="908" customFormat="false" ht="15" hidden="false" customHeight="true" outlineLevel="0" collapsed="false">
      <c r="C908" s="43"/>
      <c r="D908" s="6"/>
      <c r="F908" s="5"/>
      <c r="G908" s="5"/>
      <c r="H908" s="5"/>
    </row>
    <row r="909" customFormat="false" ht="15" hidden="false" customHeight="true" outlineLevel="0" collapsed="false">
      <c r="C909" s="43"/>
      <c r="D909" s="6"/>
      <c r="F909" s="5"/>
      <c r="G909" s="5"/>
      <c r="H909" s="5"/>
    </row>
    <row r="910" customFormat="false" ht="15" hidden="false" customHeight="true" outlineLevel="0" collapsed="false">
      <c r="C910" s="43"/>
      <c r="D910" s="6"/>
      <c r="F910" s="5"/>
      <c r="G910" s="5"/>
      <c r="H910" s="5"/>
    </row>
    <row r="911" customFormat="false" ht="15" hidden="false" customHeight="true" outlineLevel="0" collapsed="false">
      <c r="C911" s="43"/>
      <c r="D911" s="6"/>
      <c r="F911" s="5"/>
      <c r="G911" s="5"/>
      <c r="H911" s="5"/>
    </row>
    <row r="912" customFormat="false" ht="15" hidden="false" customHeight="true" outlineLevel="0" collapsed="false">
      <c r="C912" s="43"/>
      <c r="D912" s="6"/>
      <c r="F912" s="5"/>
      <c r="G912" s="5"/>
      <c r="H912" s="5"/>
    </row>
    <row r="913" customFormat="false" ht="15" hidden="false" customHeight="true" outlineLevel="0" collapsed="false">
      <c r="C913" s="43"/>
      <c r="D913" s="6"/>
      <c r="F913" s="5"/>
      <c r="G913" s="5"/>
      <c r="H913" s="5"/>
    </row>
    <row r="914" customFormat="false" ht="15" hidden="false" customHeight="true" outlineLevel="0" collapsed="false">
      <c r="C914" s="43"/>
      <c r="D914" s="6"/>
      <c r="F914" s="5"/>
      <c r="G914" s="5"/>
      <c r="H914" s="5"/>
    </row>
    <row r="915" customFormat="false" ht="15" hidden="false" customHeight="true" outlineLevel="0" collapsed="false">
      <c r="C915" s="43"/>
      <c r="D915" s="6"/>
      <c r="F915" s="5"/>
      <c r="G915" s="5"/>
      <c r="H915" s="5"/>
    </row>
    <row r="916" customFormat="false" ht="15" hidden="false" customHeight="true" outlineLevel="0" collapsed="false">
      <c r="C916" s="43"/>
      <c r="D916" s="6"/>
      <c r="F916" s="5"/>
      <c r="G916" s="5"/>
      <c r="H916" s="5"/>
    </row>
    <row r="917" customFormat="false" ht="15" hidden="false" customHeight="true" outlineLevel="0" collapsed="false">
      <c r="C917" s="43"/>
      <c r="D917" s="6"/>
      <c r="F917" s="5"/>
      <c r="G917" s="5"/>
      <c r="H917" s="5"/>
    </row>
    <row r="918" customFormat="false" ht="15" hidden="false" customHeight="true" outlineLevel="0" collapsed="false">
      <c r="C918" s="43"/>
      <c r="D918" s="6"/>
      <c r="F918" s="5"/>
      <c r="G918" s="5"/>
      <c r="H918" s="5"/>
    </row>
    <row r="919" customFormat="false" ht="15" hidden="false" customHeight="true" outlineLevel="0" collapsed="false">
      <c r="C919" s="43"/>
      <c r="D919" s="6"/>
      <c r="F919" s="5"/>
      <c r="G919" s="5"/>
      <c r="H919" s="5"/>
    </row>
    <row r="920" customFormat="false" ht="15" hidden="false" customHeight="true" outlineLevel="0" collapsed="false">
      <c r="C920" s="43"/>
      <c r="D920" s="6"/>
      <c r="F920" s="5"/>
      <c r="G920" s="5"/>
      <c r="H920" s="5"/>
    </row>
    <row r="921" customFormat="false" ht="15" hidden="false" customHeight="true" outlineLevel="0" collapsed="false">
      <c r="C921" s="43"/>
      <c r="D921" s="6"/>
      <c r="F921" s="5"/>
      <c r="G921" s="5"/>
      <c r="H921" s="5"/>
    </row>
    <row r="922" customFormat="false" ht="15" hidden="false" customHeight="true" outlineLevel="0" collapsed="false">
      <c r="C922" s="43"/>
      <c r="D922" s="6"/>
      <c r="F922" s="5"/>
      <c r="G922" s="5"/>
      <c r="H922" s="5"/>
    </row>
    <row r="923" customFormat="false" ht="15" hidden="false" customHeight="true" outlineLevel="0" collapsed="false">
      <c r="C923" s="43"/>
      <c r="D923" s="6"/>
      <c r="F923" s="5"/>
      <c r="G923" s="5"/>
      <c r="H923" s="5"/>
    </row>
    <row r="924" customFormat="false" ht="15" hidden="false" customHeight="true" outlineLevel="0" collapsed="false">
      <c r="C924" s="43"/>
      <c r="D924" s="6"/>
      <c r="F924" s="5"/>
      <c r="G924" s="5"/>
      <c r="H924" s="5"/>
    </row>
    <row r="925" customFormat="false" ht="15" hidden="false" customHeight="true" outlineLevel="0" collapsed="false">
      <c r="C925" s="43"/>
      <c r="D925" s="6"/>
      <c r="F925" s="5"/>
      <c r="G925" s="5"/>
      <c r="H925" s="5"/>
    </row>
    <row r="926" customFormat="false" ht="15" hidden="false" customHeight="true" outlineLevel="0" collapsed="false">
      <c r="C926" s="43"/>
      <c r="D926" s="6"/>
      <c r="F926" s="5"/>
      <c r="G926" s="5"/>
      <c r="H926" s="5"/>
    </row>
    <row r="927" customFormat="false" ht="15" hidden="false" customHeight="true" outlineLevel="0" collapsed="false">
      <c r="C927" s="43"/>
      <c r="D927" s="6"/>
      <c r="F927" s="5"/>
      <c r="G927" s="5"/>
      <c r="H927" s="5"/>
    </row>
    <row r="928" customFormat="false" ht="15" hidden="false" customHeight="true" outlineLevel="0" collapsed="false">
      <c r="C928" s="43"/>
      <c r="D928" s="6"/>
      <c r="F928" s="5"/>
      <c r="G928" s="5"/>
      <c r="H928" s="5"/>
    </row>
    <row r="929" customFormat="false" ht="15" hidden="false" customHeight="true" outlineLevel="0" collapsed="false">
      <c r="C929" s="43"/>
      <c r="D929" s="6"/>
      <c r="F929" s="5"/>
      <c r="G929" s="5"/>
      <c r="H929" s="5"/>
    </row>
    <row r="930" customFormat="false" ht="15" hidden="false" customHeight="true" outlineLevel="0" collapsed="false">
      <c r="C930" s="43"/>
      <c r="D930" s="6"/>
      <c r="F930" s="5"/>
      <c r="G930" s="5"/>
      <c r="H930" s="5"/>
    </row>
    <row r="931" customFormat="false" ht="15" hidden="false" customHeight="true" outlineLevel="0" collapsed="false">
      <c r="C931" s="43"/>
      <c r="D931" s="6"/>
      <c r="F931" s="5"/>
      <c r="G931" s="5"/>
      <c r="H931" s="5"/>
    </row>
    <row r="932" customFormat="false" ht="15" hidden="false" customHeight="true" outlineLevel="0" collapsed="false">
      <c r="C932" s="43"/>
      <c r="D932" s="6"/>
      <c r="F932" s="5"/>
      <c r="G932" s="5"/>
      <c r="H932" s="5"/>
    </row>
    <row r="933" customFormat="false" ht="15" hidden="false" customHeight="true" outlineLevel="0" collapsed="false">
      <c r="C933" s="43"/>
      <c r="D933" s="6"/>
      <c r="F933" s="5"/>
      <c r="G933" s="5"/>
      <c r="H933" s="5"/>
    </row>
    <row r="934" customFormat="false" ht="15" hidden="false" customHeight="true" outlineLevel="0" collapsed="false">
      <c r="C934" s="43"/>
      <c r="D934" s="6"/>
      <c r="F934" s="5"/>
      <c r="G934" s="5"/>
      <c r="H934" s="5"/>
    </row>
    <row r="935" customFormat="false" ht="15" hidden="false" customHeight="true" outlineLevel="0" collapsed="false">
      <c r="C935" s="43"/>
      <c r="D935" s="6"/>
      <c r="F935" s="5"/>
      <c r="G935" s="5"/>
      <c r="H935" s="5"/>
    </row>
    <row r="936" customFormat="false" ht="15" hidden="false" customHeight="true" outlineLevel="0" collapsed="false">
      <c r="C936" s="43"/>
      <c r="D936" s="6"/>
      <c r="F936" s="5"/>
      <c r="G936" s="5"/>
      <c r="H936" s="5"/>
    </row>
    <row r="937" customFormat="false" ht="15" hidden="false" customHeight="true" outlineLevel="0" collapsed="false">
      <c r="C937" s="43"/>
      <c r="D937" s="6"/>
      <c r="F937" s="5"/>
      <c r="G937" s="5"/>
      <c r="H937" s="5"/>
    </row>
    <row r="938" customFormat="false" ht="15" hidden="false" customHeight="true" outlineLevel="0" collapsed="false">
      <c r="C938" s="43"/>
      <c r="D938" s="6"/>
      <c r="F938" s="5"/>
      <c r="G938" s="5"/>
      <c r="H938" s="5"/>
    </row>
    <row r="939" customFormat="false" ht="15" hidden="false" customHeight="true" outlineLevel="0" collapsed="false">
      <c r="C939" s="43"/>
      <c r="D939" s="6"/>
      <c r="F939" s="5"/>
      <c r="G939" s="5"/>
      <c r="H939" s="5"/>
    </row>
    <row r="940" customFormat="false" ht="15" hidden="false" customHeight="true" outlineLevel="0" collapsed="false">
      <c r="C940" s="43"/>
      <c r="D940" s="6"/>
      <c r="F940" s="5"/>
      <c r="G940" s="5"/>
      <c r="H940" s="5"/>
    </row>
    <row r="941" customFormat="false" ht="15" hidden="false" customHeight="true" outlineLevel="0" collapsed="false">
      <c r="C941" s="43"/>
      <c r="D941" s="6"/>
      <c r="F941" s="5"/>
      <c r="G941" s="5"/>
      <c r="H941" s="5"/>
    </row>
    <row r="942" customFormat="false" ht="15" hidden="false" customHeight="true" outlineLevel="0" collapsed="false">
      <c r="C942" s="43"/>
      <c r="D942" s="6"/>
      <c r="F942" s="5"/>
      <c r="G942" s="5"/>
      <c r="H942" s="5"/>
    </row>
    <row r="943" customFormat="false" ht="15" hidden="false" customHeight="true" outlineLevel="0" collapsed="false">
      <c r="C943" s="43"/>
      <c r="D943" s="6"/>
      <c r="F943" s="5"/>
      <c r="G943" s="5"/>
      <c r="H943" s="5"/>
    </row>
    <row r="944" customFormat="false" ht="15" hidden="false" customHeight="true" outlineLevel="0" collapsed="false">
      <c r="C944" s="43"/>
      <c r="D944" s="6"/>
      <c r="F944" s="5"/>
      <c r="G944" s="5"/>
      <c r="H944" s="5"/>
    </row>
    <row r="945" customFormat="false" ht="15" hidden="false" customHeight="true" outlineLevel="0" collapsed="false">
      <c r="C945" s="43"/>
      <c r="D945" s="6"/>
      <c r="F945" s="5"/>
      <c r="G945" s="5"/>
      <c r="H945" s="5"/>
    </row>
    <row r="946" customFormat="false" ht="15" hidden="false" customHeight="true" outlineLevel="0" collapsed="false">
      <c r="C946" s="43"/>
      <c r="D946" s="6"/>
      <c r="F946" s="5"/>
      <c r="G946" s="5"/>
      <c r="H946" s="5"/>
    </row>
    <row r="947" customFormat="false" ht="15" hidden="false" customHeight="true" outlineLevel="0" collapsed="false">
      <c r="C947" s="43"/>
      <c r="D947" s="6"/>
      <c r="F947" s="5"/>
      <c r="G947" s="5"/>
      <c r="H947" s="5"/>
    </row>
    <row r="948" customFormat="false" ht="15" hidden="false" customHeight="true" outlineLevel="0" collapsed="false">
      <c r="C948" s="43"/>
      <c r="D948" s="6"/>
      <c r="F948" s="5"/>
      <c r="G948" s="5"/>
      <c r="H948" s="5"/>
    </row>
    <row r="949" customFormat="false" ht="15" hidden="false" customHeight="true" outlineLevel="0" collapsed="false">
      <c r="C949" s="43"/>
      <c r="D949" s="6"/>
      <c r="F949" s="5"/>
      <c r="G949" s="5"/>
      <c r="H949" s="5"/>
    </row>
    <row r="950" customFormat="false" ht="15" hidden="false" customHeight="true" outlineLevel="0" collapsed="false">
      <c r="C950" s="43"/>
      <c r="D950" s="6"/>
      <c r="F950" s="5"/>
      <c r="G950" s="5"/>
      <c r="H950" s="5"/>
    </row>
    <row r="951" customFormat="false" ht="15" hidden="false" customHeight="true" outlineLevel="0" collapsed="false">
      <c r="C951" s="43"/>
      <c r="D951" s="6"/>
      <c r="F951" s="5"/>
      <c r="G951" s="5"/>
      <c r="H951" s="5"/>
    </row>
    <row r="952" customFormat="false" ht="15" hidden="false" customHeight="true" outlineLevel="0" collapsed="false">
      <c r="C952" s="43"/>
      <c r="D952" s="6"/>
      <c r="F952" s="5"/>
      <c r="G952" s="5"/>
      <c r="H952" s="5"/>
    </row>
    <row r="953" customFormat="false" ht="15" hidden="false" customHeight="true" outlineLevel="0" collapsed="false">
      <c r="C953" s="43"/>
      <c r="D953" s="6"/>
      <c r="F953" s="5"/>
      <c r="G953" s="5"/>
      <c r="H953" s="5"/>
    </row>
    <row r="954" customFormat="false" ht="15" hidden="false" customHeight="true" outlineLevel="0" collapsed="false">
      <c r="C954" s="43"/>
      <c r="D954" s="6"/>
      <c r="F954" s="5"/>
      <c r="G954" s="5"/>
      <c r="H954" s="5"/>
    </row>
    <row r="955" customFormat="false" ht="15" hidden="false" customHeight="true" outlineLevel="0" collapsed="false">
      <c r="C955" s="43"/>
      <c r="D955" s="6"/>
      <c r="F955" s="5"/>
      <c r="G955" s="5"/>
      <c r="H955" s="5"/>
    </row>
    <row r="956" customFormat="false" ht="15" hidden="false" customHeight="true" outlineLevel="0" collapsed="false">
      <c r="C956" s="43"/>
      <c r="D956" s="6"/>
      <c r="F956" s="5"/>
      <c r="G956" s="5"/>
      <c r="H956" s="5"/>
    </row>
    <row r="957" customFormat="false" ht="15" hidden="false" customHeight="true" outlineLevel="0" collapsed="false">
      <c r="C957" s="43"/>
      <c r="D957" s="6"/>
      <c r="F957" s="5"/>
      <c r="G957" s="5"/>
      <c r="H957" s="5"/>
    </row>
    <row r="958" customFormat="false" ht="15" hidden="false" customHeight="true" outlineLevel="0" collapsed="false">
      <c r="C958" s="43"/>
      <c r="D958" s="6"/>
      <c r="F958" s="5"/>
      <c r="G958" s="5"/>
      <c r="H958" s="5"/>
    </row>
    <row r="959" customFormat="false" ht="15" hidden="false" customHeight="true" outlineLevel="0" collapsed="false">
      <c r="C959" s="43"/>
      <c r="D959" s="6"/>
      <c r="F959" s="5"/>
      <c r="G959" s="5"/>
      <c r="H959" s="5"/>
    </row>
    <row r="960" customFormat="false" ht="15" hidden="false" customHeight="true" outlineLevel="0" collapsed="false">
      <c r="C960" s="43"/>
      <c r="D960" s="6"/>
      <c r="F960" s="5"/>
      <c r="G960" s="5"/>
      <c r="H960" s="5"/>
    </row>
    <row r="961" customFormat="false" ht="15" hidden="false" customHeight="true" outlineLevel="0" collapsed="false">
      <c r="C961" s="43"/>
      <c r="D961" s="6"/>
      <c r="F961" s="5"/>
      <c r="G961" s="5"/>
      <c r="H961" s="5"/>
    </row>
    <row r="962" customFormat="false" ht="15" hidden="false" customHeight="true" outlineLevel="0" collapsed="false">
      <c r="C962" s="43"/>
      <c r="D962" s="6"/>
      <c r="F962" s="5"/>
      <c r="G962" s="5"/>
      <c r="H962" s="5"/>
    </row>
    <row r="963" customFormat="false" ht="15" hidden="false" customHeight="true" outlineLevel="0" collapsed="false">
      <c r="C963" s="43"/>
      <c r="D963" s="6"/>
      <c r="F963" s="5"/>
      <c r="G963" s="5"/>
      <c r="H963" s="5"/>
    </row>
    <row r="964" customFormat="false" ht="15" hidden="false" customHeight="true" outlineLevel="0" collapsed="false">
      <c r="C964" s="43"/>
      <c r="D964" s="6"/>
      <c r="F964" s="5"/>
      <c r="G964" s="5"/>
      <c r="H964" s="5"/>
    </row>
    <row r="965" customFormat="false" ht="15" hidden="false" customHeight="true" outlineLevel="0" collapsed="false">
      <c r="C965" s="43"/>
      <c r="D965" s="6"/>
      <c r="F965" s="5"/>
      <c r="G965" s="5"/>
      <c r="H965" s="5"/>
    </row>
    <row r="966" customFormat="false" ht="15" hidden="false" customHeight="true" outlineLevel="0" collapsed="false">
      <c r="C966" s="43"/>
      <c r="D966" s="6"/>
      <c r="F966" s="5"/>
      <c r="G966" s="5"/>
      <c r="H966" s="5"/>
    </row>
    <row r="967" customFormat="false" ht="15" hidden="false" customHeight="true" outlineLevel="0" collapsed="false">
      <c r="C967" s="43"/>
      <c r="D967" s="6"/>
      <c r="F967" s="5"/>
      <c r="G967" s="5"/>
      <c r="H967" s="5"/>
    </row>
    <row r="968" customFormat="false" ht="15" hidden="false" customHeight="true" outlineLevel="0" collapsed="false">
      <c r="C968" s="43"/>
      <c r="D968" s="6"/>
      <c r="F968" s="5"/>
      <c r="G968" s="5"/>
      <c r="H968" s="5"/>
    </row>
    <row r="969" customFormat="false" ht="15" hidden="false" customHeight="true" outlineLevel="0" collapsed="false">
      <c r="C969" s="43"/>
      <c r="D969" s="6"/>
      <c r="F969" s="5"/>
      <c r="G969" s="5"/>
      <c r="H969" s="5"/>
    </row>
    <row r="970" customFormat="false" ht="15" hidden="false" customHeight="true" outlineLevel="0" collapsed="false">
      <c r="C970" s="43"/>
      <c r="D970" s="6"/>
      <c r="F970" s="5"/>
      <c r="G970" s="5"/>
      <c r="H970" s="5"/>
    </row>
    <row r="971" customFormat="false" ht="15" hidden="false" customHeight="true" outlineLevel="0" collapsed="false">
      <c r="C971" s="43"/>
      <c r="D971" s="6"/>
      <c r="F971" s="5"/>
      <c r="G971" s="5"/>
      <c r="H971" s="5"/>
    </row>
    <row r="972" customFormat="false" ht="15" hidden="false" customHeight="true" outlineLevel="0" collapsed="false">
      <c r="C972" s="43"/>
      <c r="D972" s="6"/>
      <c r="F972" s="5"/>
      <c r="G972" s="5"/>
      <c r="H972" s="5"/>
    </row>
    <row r="973" customFormat="false" ht="15" hidden="false" customHeight="true" outlineLevel="0" collapsed="false">
      <c r="C973" s="43"/>
      <c r="D973" s="6"/>
      <c r="F973" s="5"/>
      <c r="G973" s="5"/>
      <c r="H973" s="5"/>
    </row>
    <row r="974" customFormat="false" ht="15" hidden="false" customHeight="true" outlineLevel="0" collapsed="false">
      <c r="C974" s="43"/>
      <c r="D974" s="6"/>
      <c r="F974" s="5"/>
      <c r="G974" s="5"/>
      <c r="H974" s="5"/>
    </row>
    <row r="975" customFormat="false" ht="15" hidden="false" customHeight="true" outlineLevel="0" collapsed="false">
      <c r="C975" s="43"/>
      <c r="D975" s="6"/>
      <c r="F975" s="5"/>
      <c r="G975" s="5"/>
      <c r="H975" s="5"/>
    </row>
    <row r="976" customFormat="false" ht="15" hidden="false" customHeight="true" outlineLevel="0" collapsed="false">
      <c r="C976" s="43"/>
      <c r="D976" s="6"/>
      <c r="F976" s="5"/>
      <c r="G976" s="5"/>
      <c r="H976" s="5"/>
    </row>
    <row r="977" customFormat="false" ht="15" hidden="false" customHeight="true" outlineLevel="0" collapsed="false">
      <c r="C977" s="43"/>
      <c r="D977" s="6"/>
      <c r="F977" s="5"/>
      <c r="G977" s="5"/>
      <c r="H977" s="5"/>
    </row>
    <row r="978" customFormat="false" ht="15" hidden="false" customHeight="true" outlineLevel="0" collapsed="false">
      <c r="C978" s="43"/>
      <c r="D978" s="6"/>
      <c r="F978" s="5"/>
      <c r="G978" s="5"/>
      <c r="H978" s="5"/>
    </row>
    <row r="979" customFormat="false" ht="15" hidden="false" customHeight="true" outlineLevel="0" collapsed="false">
      <c r="C979" s="43"/>
      <c r="D979" s="6"/>
      <c r="F979" s="5"/>
      <c r="G979" s="5"/>
      <c r="H979" s="5"/>
    </row>
    <row r="980" customFormat="false" ht="15" hidden="false" customHeight="true" outlineLevel="0" collapsed="false">
      <c r="C980" s="43"/>
      <c r="D980" s="6"/>
      <c r="F980" s="5"/>
      <c r="G980" s="5"/>
      <c r="H980" s="5"/>
    </row>
    <row r="981" customFormat="false" ht="15" hidden="false" customHeight="true" outlineLevel="0" collapsed="false">
      <c r="C981" s="43"/>
      <c r="D981" s="6"/>
      <c r="F981" s="5"/>
      <c r="G981" s="5"/>
      <c r="H981" s="5"/>
    </row>
    <row r="982" customFormat="false" ht="15" hidden="false" customHeight="true" outlineLevel="0" collapsed="false">
      <c r="C982" s="43"/>
      <c r="D982" s="6"/>
      <c r="F982" s="5"/>
      <c r="G982" s="5"/>
      <c r="H982" s="5"/>
    </row>
    <row r="983" customFormat="false" ht="15" hidden="false" customHeight="true" outlineLevel="0" collapsed="false">
      <c r="C983" s="43"/>
      <c r="D983" s="6"/>
      <c r="F983" s="5"/>
      <c r="G983" s="5"/>
      <c r="H983" s="5"/>
    </row>
    <row r="984" customFormat="false" ht="15" hidden="false" customHeight="true" outlineLevel="0" collapsed="false">
      <c r="C984" s="43"/>
      <c r="D984" s="6"/>
      <c r="F984" s="5"/>
      <c r="G984" s="5"/>
      <c r="H984" s="5"/>
    </row>
    <row r="985" customFormat="false" ht="15" hidden="false" customHeight="true" outlineLevel="0" collapsed="false">
      <c r="C985" s="43"/>
      <c r="D985" s="6"/>
      <c r="F985" s="5"/>
      <c r="G985" s="5"/>
      <c r="H985" s="5"/>
    </row>
    <row r="986" customFormat="false" ht="15" hidden="false" customHeight="true" outlineLevel="0" collapsed="false">
      <c r="C986" s="43"/>
      <c r="D986" s="6"/>
      <c r="F986" s="5"/>
      <c r="G986" s="5"/>
      <c r="H986" s="5"/>
    </row>
    <row r="987" customFormat="false" ht="15" hidden="false" customHeight="true" outlineLevel="0" collapsed="false">
      <c r="C987" s="43"/>
      <c r="D987" s="6"/>
      <c r="F987" s="5"/>
      <c r="G987" s="5"/>
      <c r="H987" s="5"/>
    </row>
    <row r="988" customFormat="false" ht="15" hidden="false" customHeight="true" outlineLevel="0" collapsed="false">
      <c r="C988" s="43"/>
      <c r="D988" s="6"/>
      <c r="F988" s="5"/>
      <c r="G988" s="5"/>
      <c r="H988" s="5"/>
    </row>
    <row r="989" customFormat="false" ht="15" hidden="false" customHeight="true" outlineLevel="0" collapsed="false">
      <c r="C989" s="43"/>
      <c r="D989" s="6"/>
      <c r="F989" s="5"/>
      <c r="G989" s="5"/>
      <c r="H989" s="5"/>
    </row>
    <row r="990" customFormat="false" ht="15" hidden="false" customHeight="true" outlineLevel="0" collapsed="false">
      <c r="C990" s="43"/>
      <c r="D990" s="6"/>
      <c r="F990" s="5"/>
      <c r="G990" s="5"/>
      <c r="H990" s="5"/>
    </row>
    <row r="991" customFormat="false" ht="15" hidden="false" customHeight="true" outlineLevel="0" collapsed="false">
      <c r="C991" s="43"/>
      <c r="D991" s="6"/>
      <c r="F991" s="5"/>
      <c r="G991" s="5"/>
      <c r="H991" s="5"/>
    </row>
    <row r="992" customFormat="false" ht="15" hidden="false" customHeight="true" outlineLevel="0" collapsed="false">
      <c r="C992" s="43"/>
      <c r="D992" s="6"/>
      <c r="F992" s="5"/>
      <c r="G992" s="5"/>
      <c r="H992" s="5"/>
    </row>
    <row r="993" customFormat="false" ht="15" hidden="false" customHeight="true" outlineLevel="0" collapsed="false">
      <c r="C993" s="43"/>
      <c r="D993" s="6"/>
      <c r="F993" s="5"/>
      <c r="G993" s="5"/>
      <c r="H993" s="5"/>
    </row>
    <row r="994" customFormat="false" ht="15" hidden="false" customHeight="true" outlineLevel="0" collapsed="false">
      <c r="C994" s="43"/>
      <c r="D994" s="6"/>
      <c r="F994" s="5"/>
      <c r="G994" s="5"/>
      <c r="H994" s="5"/>
    </row>
    <row r="995" customFormat="false" ht="15" hidden="false" customHeight="true" outlineLevel="0" collapsed="false">
      <c r="C995" s="43"/>
      <c r="D995" s="6"/>
      <c r="F995" s="5"/>
      <c r="G995" s="5"/>
      <c r="H995" s="5"/>
    </row>
    <row r="996" customFormat="false" ht="15" hidden="false" customHeight="true" outlineLevel="0" collapsed="false">
      <c r="C996" s="43"/>
      <c r="D996" s="6"/>
      <c r="F996" s="5"/>
      <c r="G996" s="5"/>
      <c r="H996" s="5"/>
    </row>
    <row r="997" customFormat="false" ht="15" hidden="false" customHeight="true" outlineLevel="0" collapsed="false">
      <c r="C997" s="43"/>
      <c r="D997" s="6"/>
      <c r="F997" s="5"/>
      <c r="G997" s="5"/>
      <c r="H997" s="5"/>
    </row>
    <row r="998" customFormat="false" ht="15" hidden="false" customHeight="true" outlineLevel="0" collapsed="false">
      <c r="C998" s="43"/>
      <c r="D998" s="6"/>
      <c r="F998" s="5"/>
      <c r="G998" s="5"/>
      <c r="H998" s="5"/>
    </row>
    <row r="999" customFormat="false" ht="15" hidden="false" customHeight="true" outlineLevel="0" collapsed="false">
      <c r="C999" s="43"/>
      <c r="D999" s="6"/>
      <c r="F999" s="5"/>
      <c r="G999" s="5"/>
      <c r="H999" s="5"/>
    </row>
    <row r="1000" customFormat="false" ht="15" hidden="false" customHeight="true" outlineLevel="0" collapsed="false">
      <c r="C1000" s="43"/>
      <c r="D1000" s="6"/>
      <c r="F1000" s="5"/>
      <c r="G1000" s="5"/>
      <c r="H1000" s="5"/>
    </row>
  </sheetData>
  <mergeCells count="2">
    <mergeCell ref="A1:H1"/>
    <mergeCell ref="A2:H2"/>
  </mergeCells>
  <conditionalFormatting sqref="D4:D1000">
    <cfRule type="cellIs" priority="2" operator="equal" aboveAverage="0" equalAverage="0" bottom="0" percent="0" rank="0" text="" dxfId="5">
      <formula>1</formula>
    </cfRule>
    <cfRule type="cellIs" priority="3" operator="equal" aboveAverage="0" equalAverage="0" bottom="0" percent="0" rank="0" text="" dxfId="6">
      <formula>2</formula>
    </cfRule>
    <cfRule type="cellIs" priority="4" operator="equal" aboveAverage="0" equalAverage="0" bottom="0" percent="0" rank="0" text="" dxfId="7">
      <formula>3</formula>
    </cfRule>
    <cfRule type="cellIs" priority="5" operator="equal" aboveAverage="0" equalAverage="0" bottom="0" percent="0" rank="0" text="" dxfId="8">
      <formula>4</formula>
    </cfRule>
    <cfRule type="cellIs" priority="6" operator="equal" aboveAverage="0" equalAverage="0" bottom="0" percent="0" rank="0" text="" dxfId="9">
      <formula>5</formula>
    </cfRule>
  </conditionalFormatting>
  <dataValidations count="2">
    <dataValidation allowBlank="true" errorStyle="stop" operator="between" showDropDown="false" showErrorMessage="false" showInputMessage="false" sqref="D4:D1000" type="list">
      <formula1>"1,2,3,4,5"</formula1>
      <formula2>0</formula2>
    </dataValidation>
    <dataValidation allowBlank="true" errorStyle="stop" operator="between" showDropDown="false" showErrorMessage="false" showInputMessage="false" sqref="E4:E1000" type="list">
      <formula1>"Oui immédiatement,Oui mais j'ai besoin de plus de pratique,Pas sûr,Non"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2026-04-27T09:55:04Z</dcterms:created>
  <dc:creator>openpyxl</dc:creator>
  <dc:description/>
  <dc:language>en-US</dc:language>
  <cp:lastModifiedBy>Jérémie KIEFFER</cp:lastModifiedBy>
  <dcterms:modified xsi:type="dcterms:W3CDTF">2026-07-27T08:52:55Z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