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Convention" sheetId="1" state="visible" r:id="rId3"/>
    <sheet name="Référentiel" sheetId="2" state="visible" r:id="rId4"/>
    <sheet name="Événements" sheetId="3" state="visible" r:id="rId5"/>
    <sheet name="Saisie 2026-02" sheetId="4" state="visible" r:id="rId6"/>
    <sheet name="Saisie 2026-03" sheetId="5" state="visible" r:id="rId7"/>
    <sheet name="Saisie 2026-04" sheetId="6" state="visible" r:id="rId8"/>
    <sheet name="Saisie 2026-05" sheetId="7" state="visible" r:id="rId9"/>
    <sheet name="Saisie 2026-06" sheetId="8" state="visible" r:id="rId10"/>
    <sheet name="Formations" sheetId="9" state="visible" r:id="rId11"/>
    <sheet name="Formations_Participations" sheetId="10" state="visible" r:id="rId12"/>
    <sheet name="Log" sheetId="11" state="visible" r:id="rId13"/>
    <sheet name="Synthèse mensuelle" sheetId="12" state="visible" r:id="rId14"/>
    <sheet name="Synthèse consult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<sst xmlns="http://schemas.openxmlformats.org/spreadsheetml/2006/main" count="740" uniqueCount="182">
  <si>
    <t xml:space="preserve">Convention de saisie — Suivi de présence consultants</t>
  </si>
  <si>
    <t xml:space="preserve">Ce fichier sert à suivre la présence des consultants au bureau et à mesurer notre OKR (objectif : 2 jours/mois minimum par consultant).</t>
  </si>
  <si>
    <t xml:space="preserve">Symboles à utiliser dans les onglets de saisie mensuelle</t>
  </si>
  <si>
    <t xml:space="preserve">Symbole</t>
  </si>
  <si>
    <t xml:space="preserve">Signification</t>
  </si>
  <si>
    <t xml:space="preserve">Impact sur le calcul</t>
  </si>
  <si>
    <t xml:space="preserve">1</t>
  </si>
  <si>
    <t xml:space="preserve">Présence au bureau</t>
  </si>
  <si>
    <t xml:space="preserve">Compte dans le total de présences du consultant</t>
  </si>
  <si>
    <t xml:space="preserve">IC</t>
  </si>
  <si>
    <t xml:space="preserve">Présence pendant une période d'intercontrat</t>
  </si>
  <si>
    <t xml:space="preserve">Compte comme une présence dans le total OKR. Permet de visualiser la période d'intercontrat.</t>
  </si>
  <si>
    <t xml:space="preserve">(vide)</t>
  </si>
  <si>
    <t xml:space="preserve">Absence par défaut (pas venu, en mission, télétravail, congés courts)</t>
  </si>
  <si>
    <t xml:space="preserve">Compte comme "non présent" — sous l'objectif si pas assez de "1"</t>
  </si>
  <si>
    <t xml:space="preserve">M</t>
  </si>
  <si>
    <t xml:space="preserve">Absence longue : congé maternité/paternité, parental, maladie longue, sabbatique</t>
  </si>
  <si>
    <t xml:space="preserve">Le consultant est exclu du calcul d'atteinte OKR pour ce mois</t>
  </si>
  <si>
    <t xml:space="preserve">X</t>
  </si>
  <si>
    <t xml:space="preserve">Date d'un événement (ligne XO Day, XO Product Day, Séminaire)</t>
  </si>
  <si>
    <t xml:space="preserve">Permet d'overlay l'événement sur les graphiques</t>
  </si>
  <si>
    <t xml:space="preserve">Comment utiliser le fichier</t>
  </si>
  <si>
    <t xml:space="preserve">1. Onglet "Référentiel" : ajoute/retire les consultants au fil des arrivées et départs.</t>
  </si>
  <si>
    <t xml:space="preserve">2. Onglet "Événements" : déclare en amont les XO Days, XO Product Days et séminaires prévus.</t>
  </si>
  <si>
    <t xml:space="preserve">3. Onglets "Saisie YYYY-MM" : saisie quotidienne des présences (1 dans la cellule). Crée un nouvel onglet par mois.</t>
  </si>
  <si>
    <t xml:space="preserve">4. Onglet "Log" : se met à jour automatiquement, pas de saisie manuelle. C'est la source pour le dashboard.</t>
  </si>
  <si>
    <t xml:space="preserve">5. Onglets "Synthèse" : KPI calculés automatiquement.</t>
  </si>
  <si>
    <t xml:space="preserve">Note importante</t>
  </si>
  <si>
    <t xml:space="preserve">Ce fichier est un fichier source. Les données calculées dans les onglets Log et Synthèse alimentent un dashboard externe (web). Ne pas modifier les formules de ces onglets.</t>
  </si>
  <si>
    <t xml:space="preserve">Symboles à utiliser dans l'onglet Formations_Participations</t>
  </si>
  <si>
    <t xml:space="preserve">F</t>
  </si>
  <si>
    <t xml:space="preserve">Formateur(rice) de la session</t>
  </si>
  <si>
    <t xml:space="preserve">Compte comme une animation dans le total du consultant (bleu)</t>
  </si>
  <si>
    <t xml:space="preserve">P</t>
  </si>
  <si>
    <t xml:space="preserve">Participant(e) présent(e) à la session</t>
  </si>
  <si>
    <t xml:space="preserve">Compte comme une participation dans le total du consultant (vert)</t>
  </si>
  <si>
    <t xml:space="preserve">Non concerné par la session</t>
  </si>
  <si>
    <t xml:space="preserve">Ne compte pas</t>
  </si>
  <si>
    <t xml:space="preserve">Conventions pour l'onglet Formations</t>
  </si>
  <si>
    <t xml:space="preserve">id_session</t>
  </si>
  <si>
    <t xml:space="preserve">Format F-YYYY-NNN. NNN incrément manuel, remis à 1 chaque année (ex. F-2026-001).</t>
  </si>
  <si>
    <t xml:space="preserve">date</t>
  </si>
  <si>
    <t xml:space="preserve">Date de la session, une session = un jour.</t>
  </si>
  <si>
    <t xml:space="preserve">thématique</t>
  </si>
  <si>
    <t xml:space="preserve">Libellé court de la session, texte libre.</t>
  </si>
  <si>
    <t xml:space="preserve">formateur</t>
  </si>
  <si>
    <t xml:space="preserve">Nom du/des formateur(s). Plusieurs noms séparés par virgule en cas de co-animation.</t>
  </si>
  <si>
    <t xml:space="preserve">lien_support</t>
  </si>
  <si>
    <t xml:space="preserve">URL du support de session (Notion en général). Optionnel.</t>
  </si>
  <si>
    <t xml:space="preserve">Règle importante</t>
  </si>
  <si>
    <t xml:space="preserve">Les consultants dans Formations_Participations doivent rester dans le même ordre que dans les onglets Saisie YYYY-MM. Toute réorganisation (ajout, retrait, tri) doit être faite simultanément dans les deux familles d'onglets pour préserver la cohérence (et la future vue consultant consolidée).</t>
  </si>
  <si>
    <t xml:space="preserve">Cycle de vie des consultants (Référentiel)</t>
  </si>
  <si>
    <t xml:space="preserve">Règle absolue</t>
  </si>
  <si>
    <t xml:space="preserve">Ne jamais supprimer une ligne consultant. Quand un consultant part, remplir Date de sortie ; sa ligne reste en place dans Référentiel et dans toutes les matrices, ce qui préserve son historique.</t>
  </si>
  <si>
    <t xml:space="preserve">Arrivée</t>
  </si>
  <si>
    <t xml:space="preserve">Ajouter au Référentiel avec Date d'entrée. Ajouter une ligne consultant dans les matrices Saisie YYYY-MM (présent et à venir) et Formations_Participations.</t>
  </si>
  <si>
    <t xml:space="preserve">Départ</t>
  </si>
  <si>
    <t xml:space="preserve">Remplir Date de sortie dans le Référentiel. Ne pas toucher aux matrices.</t>
  </si>
  <si>
    <t xml:space="preserve">Saisie d'un formateur</t>
  </si>
  <si>
    <t xml:space="preserve">Onglet Formations</t>
  </si>
  <si>
    <t xml:space="preserve">Choisis le nom dans la liste déroulante de la colonne formateur. Pour co-animation, sépare plusieurs noms par une virgule.</t>
  </si>
  <si>
    <t xml:space="preserve">Matrice Formations_Participations</t>
  </si>
  <si>
    <t xml:space="preserve">Basculer le P du formateur en F à la colonne de la session concernée, pour que son animation soit comptée dans son total d'engagement.</t>
  </si>
  <si>
    <t xml:space="preserve">Référentiel des consultants</t>
  </si>
  <si>
    <t xml:space="preserve">Consultant</t>
  </si>
  <si>
    <t xml:space="preserve">Date d'entrée</t>
  </si>
  <si>
    <t xml:space="preserve">Date de sortie</t>
  </si>
  <si>
    <t xml:space="preserve">Alexandre Dieulesaint</t>
  </si>
  <si>
    <t xml:space="preserve">Amandine Ziegler</t>
  </si>
  <si>
    <t xml:space="preserve">Anthony Mocaer</t>
  </si>
  <si>
    <t xml:space="preserve">Anthéa Delpuech</t>
  </si>
  <si>
    <t xml:space="preserve">Axel Charletoux</t>
  </si>
  <si>
    <t xml:space="preserve">Barnabé Melaine</t>
  </si>
  <si>
    <t xml:space="preserve">Bertrand Mignot</t>
  </si>
  <si>
    <t xml:space="preserve">Calixte Bailly</t>
  </si>
  <si>
    <t xml:space="preserve">Caroline Hamoud</t>
  </si>
  <si>
    <t xml:space="preserve">Esther Mussot</t>
  </si>
  <si>
    <t xml:space="preserve">Eva Andrzejewski</t>
  </si>
  <si>
    <t xml:space="preserve">Florian Le Fur</t>
  </si>
  <si>
    <t xml:space="preserve">Florian Roudier</t>
  </si>
  <si>
    <t xml:space="preserve">François L'Hostis</t>
  </si>
  <si>
    <t xml:space="preserve">Félix Hantraye</t>
  </si>
  <si>
    <t xml:space="preserve">Geoffroy Debellabre</t>
  </si>
  <si>
    <t xml:space="preserve">Julien Calvao</t>
  </si>
  <si>
    <t xml:space="preserve">Laureline Berthou</t>
  </si>
  <si>
    <t xml:space="preserve">Mathieu Ultsch</t>
  </si>
  <si>
    <t xml:space="preserve">Matthieu Le Corre</t>
  </si>
  <si>
    <t xml:space="preserve">Nacim Souni</t>
  </si>
  <si>
    <t xml:space="preserve">Sandra Tang</t>
  </si>
  <si>
    <t xml:space="preserve">Simon Kerhyuel</t>
  </si>
  <si>
    <t xml:space="preserve">Théo Esposito</t>
  </si>
  <si>
    <t xml:space="preserve">Vincent Girard</t>
  </si>
  <si>
    <t xml:space="preserve">Zelal Aslan</t>
  </si>
  <si>
    <t xml:space="preserve">Anita Aladine</t>
  </si>
  <si>
    <t xml:space="preserve">Camille Chansigaud</t>
  </si>
  <si>
    <t xml:space="preserve">Emilien Rue</t>
  </si>
  <si>
    <t xml:space="preserve">Gaetan Le Bail</t>
  </si>
  <si>
    <t xml:space="preserve">Melchior R</t>
  </si>
  <si>
    <t xml:space="preserve">Nicolas Renard</t>
  </si>
  <si>
    <t xml:space="preserve">Jérémie Kieffer</t>
  </si>
  <si>
    <t xml:space="preserve">Calendrier des événements collectifs</t>
  </si>
  <si>
    <t xml:space="preserve">Date</t>
  </si>
  <si>
    <t xml:space="preserve">Type</t>
  </si>
  <si>
    <t xml:space="preserve">Libellé / Détail</t>
  </si>
  <si>
    <t xml:space="preserve">XO Product Day</t>
  </si>
  <si>
    <t xml:space="preserve">XO Product Day février</t>
  </si>
  <si>
    <t xml:space="preserve">XO Day</t>
  </si>
  <si>
    <t xml:space="preserve">XO Day mars</t>
  </si>
  <si>
    <t xml:space="preserve">XO Day avril</t>
  </si>
  <si>
    <t xml:space="preserve">Saisie présence — Février 2026</t>
  </si>
  <si>
    <t xml:space="preserve">Total</t>
  </si>
  <si>
    <t xml:space="preserve">Statut OKR</t>
  </si>
  <si>
    <t xml:space="preserve">— Événements —</t>
  </si>
  <si>
    <t xml:space="preserve">Séminaire</t>
  </si>
  <si>
    <t xml:space="preserve">Saisie présence — Mars 2026</t>
  </si>
  <si>
    <t xml:space="preserve">Saisie présence — Avril 2026</t>
  </si>
  <si>
    <t xml:space="preserve">Saisie présence — Mai 2026</t>
  </si>
  <si>
    <t xml:space="preserve">Saisie présence — Juin 2026</t>
  </si>
  <si>
    <t xml:space="preserve">Agnes Bregeon</t>
  </si>
  <si>
    <t xml:space="preserve">Catalogue des sessions de formation</t>
  </si>
  <si>
    <t xml:space="preserve">F-2025-001</t>
  </si>
  <si>
    <t xml:space="preserve">Delivery - Essentiel - La gestion du Backlog Produit ​</t>
  </si>
  <si>
    <t xml:space="preserve">F-2025-002</t>
  </si>
  <si>
    <t xml:space="preserve">F-2025-003</t>
  </si>
  <si>
    <t xml:space="preserve">Discovery - Essentiel - Comprendre la Discovery​</t>
  </si>
  <si>
    <t xml:space="preserve">F-2025-004</t>
  </si>
  <si>
    <t xml:space="preserve">Delivery - Essentiel - MVP &amp; User Story Mapping​</t>
  </si>
  <si>
    <t xml:space="preserve">F-2025-005</t>
  </si>
  <si>
    <t xml:space="preserve">Product Expert - Essentiel - Initiation aux API : Fondamentaux et usages​</t>
  </si>
  <si>
    <t xml:space="preserve">F-2025-006</t>
  </si>
  <si>
    <t xml:space="preserve">Discovery - Essentiel - Comprendre la Discovery ​  Les différents frameworks</t>
  </si>
  <si>
    <t xml:space="preserve">F-2025-007</t>
  </si>
  <si>
    <t xml:space="preserve">Discovery - Avancé - Identifier le bon problème et les bonnes cibles​</t>
  </si>
  <si>
    <t xml:space="preserve">F-2025-008</t>
  </si>
  <si>
    <t xml:space="preserve">F-2025-009</t>
  </si>
  <si>
    <t xml:space="preserve">IA - Essentiel - Module 1 - Intégrer l'IA et les LLM dans sa pratique de Product Manager</t>
  </si>
  <si>
    <t xml:space="preserve">Matthieu Le Corre, Anthony Mocaer</t>
  </si>
  <si>
    <t xml:space="preserve">F-2026-001</t>
  </si>
  <si>
    <t xml:space="preserve">F-2026-002</t>
  </si>
  <si>
    <t xml:space="preserve">Discovery - Avancé - Les protocoles de recherche utilisateurs​</t>
  </si>
  <si>
    <t xml:space="preserve">F-2026-003</t>
  </si>
  <si>
    <t xml:space="preserve">F-2026-004</t>
  </si>
  <si>
    <t xml:space="preserve">IA - Essentiel - Module 2 - Clarifier les terminologies clés de l’IA &amp; optimiser sa pratique des LLM</t>
  </si>
  <si>
    <t xml:space="preserve">F-2026-005</t>
  </si>
  <si>
    <t xml:space="preserve">Tech for PM - Essentiel - Module 1 - Les fondations : Git &amp; Frontend</t>
  </si>
  <si>
    <t xml:space="preserve">F-2026-006</t>
  </si>
  <si>
    <t xml:space="preserve">Discovery - Avancé - Imaginer et valider une solution</t>
  </si>
  <si>
    <t xml:space="preserve">F-2026-007</t>
  </si>
  <si>
    <t xml:space="preserve">F-2026-008</t>
  </si>
  <si>
    <t xml:space="preserve">Théo Esposito, Calixte Bailly</t>
  </si>
  <si>
    <t xml:space="preserve">F-2026-009</t>
  </si>
  <si>
    <t xml:space="preserve">Tech for PM - Session #2 - Back end et API</t>
  </si>
  <si>
    <t xml:space="preserve">Participations aux sessions de formation</t>
  </si>
  <si>
    <t xml:space="preserve">Log — format long (alimentation automatique)</t>
  </si>
  <si>
    <t xml:space="preserve">Ce tableau consolide automatiquement les données de tous les onglets de saisie au format long (1 ligne = 1 jour × 1 consultant × 1 statut). C'est ce tableau qui est exporté en CSV pour alimenter le dashboard.</t>
  </si>
  <si>
    <t xml:space="preserve">Important : ne pas saisir manuellement dans cet onglet. Toute saisie se fait dans les onglets "Saisie YYYY-MM".</t>
  </si>
  <si>
    <t xml:space="preserve">Année-Mois</t>
  </si>
  <si>
    <t xml:space="preserve">Jour semaine</t>
  </si>
  <si>
    <t xml:space="preserve">Statut</t>
  </si>
  <si>
    <t xml:space="preserve">Source</t>
  </si>
  <si>
    <t xml:space="preserve">Synthèse mensuelle — KPI agrégés</t>
  </si>
  <si>
    <t xml:space="preserve">Ces KPI sont calculés automatiquement depuis les onglets de saisie mensuelle.</t>
  </si>
  <si>
    <t xml:space="preserve">Mois</t>
  </si>
  <si>
    <t xml:space="preserve">Nb consultants</t>
  </si>
  <si>
    <t xml:space="preserve">Présences totales</t>
  </si>
  <si>
    <t xml:space="preserve">Atteinte OKR (%)</t>
  </si>
  <si>
    <t xml:space="preserve">Moyenne (j)</t>
  </si>
  <si>
    <t xml:space="preserve">Venus ≥1x</t>
  </si>
  <si>
    <t xml:space="preserve">Pic du mois</t>
  </si>
  <si>
    <t xml:space="preserve">Février 2026</t>
  </si>
  <si>
    <t xml:space="preserve">À calculer manuellement / via dashboard</t>
  </si>
  <si>
    <t xml:space="preserve">Mars 2026</t>
  </si>
  <si>
    <t xml:space="preserve">Avril 2026</t>
  </si>
  <si>
    <t xml:space="preserve">Mai 2026</t>
  </si>
  <si>
    <t xml:space="preserve">Juin 2026</t>
  </si>
  <si>
    <t xml:space="preserve">Moyenne T2</t>
  </si>
  <si>
    <t xml:space="preserve">Synthèse par consultant — vue trimestrielle</t>
  </si>
  <si>
    <t xml:space="preserve">Vue par consultant : présences et statut OKR par mois (févr.→juin), plus régularité sur la période.</t>
  </si>
  <si>
    <t xml:space="preserve">Févr. 2026</t>
  </si>
  <si>
    <t xml:space="preserve">Avr. 2026</t>
  </si>
  <si>
    <t xml:space="preserve">Mois ≥2j</t>
  </si>
  <si>
    <t xml:space="preserve">Régularité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</si>
</sst>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/d/yyyy"/>
    <numFmt numFmtId="166" formatCode="[$-40C]ddd\ dd"/>
    <numFmt numFmtId="167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Calibri"/>
      <family val="2"/>
      <charset val="1"/>
    </font>
    <font>
      <b val="true"/>
      <sz val="11"/>
      <name val="Cambria"/>
      <family val="1"/>
      <charset val="1"/>
    </font>
    <font>
      <b val="true"/>
      <sz val="14"/>
      <name val="Inter"/>
      <family val="0"/>
      <charset val="1"/>
    </font>
    <font>
      <b val="true"/>
      <sz val="12"/>
      <name val="Inter"/>
      <family val="0"/>
      <charset val="1"/>
    </font>
    <font>
      <sz val="11"/>
      <name val="Inter"/>
      <family val="0"/>
      <charset val="1"/>
    </font>
    <font>
      <b val="true"/>
      <sz val="12"/>
      <color rgb="FF6B7280"/>
      <name val="Inter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3F4F6"/>
        <bgColor rgb="FFE5E7EB"/>
      </patternFill>
    </fill>
    <fill>
      <patternFill patternType="solid">
        <fgColor rgb="FFD1FAE5"/>
        <bgColor rgb="FFDBEAFE"/>
      </patternFill>
    </fill>
    <fill>
      <patternFill patternType="solid">
        <fgColor rgb="FFE5E7EB"/>
        <bgColor rgb="FFDBEAFE"/>
      </patternFill>
    </fill>
    <fill>
      <patternFill patternType="solid">
        <fgColor rgb="FFFEF3C7"/>
        <bgColor rgb="FFF3F4F6"/>
      </patternFill>
    </fill>
    <fill>
      <patternFill patternType="solid">
        <fgColor rgb="FFE9D5FF"/>
        <bgColor rgb="FFE5E7EB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1D5DB"/>
      </bottom>
      <diagonal/>
    </border>
    <border diagonalUp="false" diagonalDown="false">
      <left style="medium">
        <color rgb="FF9CA3AF"/>
      </left>
      <right/>
      <top/>
      <bottom style="thin">
        <color rgb="FFD1D5DB"/>
      </bottom>
      <diagonal/>
    </border>
    <border diagonalUp="false" diagonalDown="false">
      <left style="medium">
        <color rgb="FF9CA3AF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1FAE5"/>
        </patternFill>
      </fill>
    </dxf>
    <dxf>
      <fill>
        <patternFill>
          <bgColor rgb="FFFEF3C7"/>
        </patternFill>
      </fill>
    </dxf>
    <dxf>
      <fill>
        <patternFill>
          <bgColor rgb="FFE5E7EB"/>
        </patternFill>
      </fill>
    </dxf>
    <dxf>
      <fill>
        <patternFill>
          <bgColor rgb="FFE9D5FF"/>
        </patternFill>
      </fill>
    </dxf>
    <dxf>
      <fill>
        <patternFill>
          <bgColor rgb="FFDBEAFE"/>
        </patternFill>
      </fill>
    </dxf>
  </dxfs>
  <colors>
    <indexedColors>
      <rgbColor rgb="FF000000"/>
      <rgbColor rgb="FFF3F4F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9D5FF"/>
      <rgbColor rgb="FF808080"/>
      <rgbColor rgb="FF9999FF"/>
      <rgbColor rgb="FF993366"/>
      <rgbColor rgb="FFFEF3C7"/>
      <rgbColor rgb="FFDBEAFE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D1FA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CA3AF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6796875" defaultRowHeight="15" zeroHeight="false" outlineLevelRow="0" outlineLevelCol="0"/>
  <sheetData>
    <row r="1" customFormat="false" ht="15.75" hidden="false" customHeight="true" outlineLevel="0" collapsed="false">
      <c r="A1" s="1" t="s">
        <v>0</v>
      </c>
    </row>
    <row r="3" customFormat="false" ht="15.75" hidden="false" customHeight="true" outlineLevel="0" collapsed="false">
      <c r="A3" s="1" t="s">
        <v>1</v>
      </c>
    </row>
    <row r="5" customFormat="false" ht="15.75" hidden="false" customHeight="true" outlineLevel="0" collapsed="false">
      <c r="A5" s="1" t="s">
        <v>2</v>
      </c>
    </row>
    <row r="6" customFormat="false" ht="15.75" hidden="false" customHeight="true" outlineLevel="0" collapsed="false">
      <c r="A6" s="1" t="s">
        <v>3</v>
      </c>
      <c r="B6" s="1" t="s">
        <v>4</v>
      </c>
      <c r="C6" s="1" t="s">
        <v>5</v>
      </c>
    </row>
    <row r="7" customFormat="false" ht="15.75" hidden="false" customHeight="true" outlineLevel="0" collapsed="false">
      <c r="A7" s="1" t="s">
        <v>6</v>
      </c>
      <c r="B7" s="1" t="s">
        <v>7</v>
      </c>
      <c r="C7" s="1" t="s">
        <v>8</v>
      </c>
    </row>
    <row r="8" customFormat="false" ht="15.75" hidden="false" customHeight="true" outlineLevel="0" collapsed="false">
      <c r="A8" s="1" t="s">
        <v>9</v>
      </c>
      <c r="B8" s="1" t="s">
        <v>10</v>
      </c>
      <c r="C8" s="1" t="s">
        <v>11</v>
      </c>
    </row>
    <row r="9" customFormat="false" ht="15.75" hidden="false" customHeight="true" outlineLevel="0" collapsed="false">
      <c r="A9" s="1" t="s">
        <v>12</v>
      </c>
      <c r="B9" s="1" t="s">
        <v>13</v>
      </c>
      <c r="C9" s="1" t="s">
        <v>14</v>
      </c>
    </row>
    <row r="10" customFormat="false" ht="15.75" hidden="false" customHeight="true" outlineLevel="0" collapsed="false">
      <c r="A10" s="1" t="s">
        <v>15</v>
      </c>
      <c r="B10" s="1" t="s">
        <v>16</v>
      </c>
      <c r="C10" s="1" t="s">
        <v>17</v>
      </c>
    </row>
    <row r="11" customFormat="false" ht="15.75" hidden="false" customHeight="true" outlineLevel="0" collapsed="false">
      <c r="A11" s="1" t="s">
        <v>18</v>
      </c>
      <c r="B11" s="1" t="s">
        <v>19</v>
      </c>
      <c r="C11" s="1" t="s">
        <v>20</v>
      </c>
    </row>
    <row r="13" customFormat="false" ht="15.75" hidden="false" customHeight="true" outlineLevel="0" collapsed="false">
      <c r="A13" s="1" t="s">
        <v>21</v>
      </c>
    </row>
    <row r="14" customFormat="false" ht="15.75" hidden="false" customHeight="true" outlineLevel="0" collapsed="false">
      <c r="A14" s="1" t="s">
        <v>22</v>
      </c>
    </row>
    <row r="15" customFormat="false" ht="15.75" hidden="false" customHeight="true" outlineLevel="0" collapsed="false">
      <c r="A15" s="1" t="s">
        <v>23</v>
      </c>
    </row>
    <row r="16" customFormat="false" ht="15.75" hidden="false" customHeight="true" outlineLevel="0" collapsed="false">
      <c r="A16" s="1" t="s">
        <v>24</v>
      </c>
    </row>
    <row r="17" customFormat="false" ht="15.75" hidden="false" customHeight="true" outlineLevel="0" collapsed="false">
      <c r="A17" s="1" t="s">
        <v>25</v>
      </c>
    </row>
    <row r="18" customFormat="false" ht="15.75" hidden="false" customHeight="true" outlineLevel="0" collapsed="false">
      <c r="A18" s="1" t="s">
        <v>26</v>
      </c>
    </row>
    <row r="21" customFormat="false" ht="15.75" hidden="false" customHeight="true" outlineLevel="0" collapsed="false">
      <c r="A21" s="1" t="s">
        <v>27</v>
      </c>
    </row>
    <row r="22" customFormat="false" ht="15.75" hidden="false" customHeight="true" outlineLevel="0" collapsed="false">
      <c r="A22" s="1" t="s">
        <v>28</v>
      </c>
    </row>
    <row r="24" customFormat="false" ht="15" hidden="false" customHeight="true" outlineLevel="0" collapsed="false">
      <c r="A24" s="2" t="s">
        <v>29</v>
      </c>
    </row>
    <row r="25" customFormat="false" ht="15" hidden="false" customHeight="true" outlineLevel="0" collapsed="false">
      <c r="A25" s="2" t="s">
        <v>3</v>
      </c>
      <c r="B25" s="2" t="s">
        <v>4</v>
      </c>
      <c r="C25" s="2" t="s">
        <v>5</v>
      </c>
    </row>
    <row r="26" customFormat="false" ht="15" hidden="false" customHeight="true" outlineLevel="0" collapsed="false">
      <c r="A26" s="0" t="s">
        <v>30</v>
      </c>
      <c r="B26" s="0" t="s">
        <v>31</v>
      </c>
      <c r="C26" s="0" t="s">
        <v>32</v>
      </c>
    </row>
    <row r="27" customFormat="false" ht="15" hidden="false" customHeight="true" outlineLevel="0" collapsed="false">
      <c r="A27" s="0" t="s">
        <v>33</v>
      </c>
      <c r="B27" s="0" t="s">
        <v>34</v>
      </c>
      <c r="C27" s="0" t="s">
        <v>35</v>
      </c>
    </row>
    <row r="28" customFormat="false" ht="15" hidden="false" customHeight="true" outlineLevel="0" collapsed="false">
      <c r="A28" s="0" t="s">
        <v>12</v>
      </c>
      <c r="B28" s="0" t="s">
        <v>36</v>
      </c>
      <c r="C28" s="0" t="s">
        <v>37</v>
      </c>
    </row>
    <row r="30" customFormat="false" ht="15" hidden="false" customHeight="true" outlineLevel="0" collapsed="false">
      <c r="A30" s="2" t="s">
        <v>38</v>
      </c>
    </row>
    <row r="31" customFormat="false" ht="15" hidden="false" customHeight="true" outlineLevel="0" collapsed="false">
      <c r="A31" s="0" t="s">
        <v>39</v>
      </c>
      <c r="B31" s="0" t="s">
        <v>40</v>
      </c>
    </row>
    <row r="32" customFormat="false" ht="15" hidden="false" customHeight="true" outlineLevel="0" collapsed="false">
      <c r="A32" s="0" t="s">
        <v>41</v>
      </c>
      <c r="B32" s="0" t="s">
        <v>42</v>
      </c>
    </row>
    <row r="33" customFormat="false" ht="15" hidden="false" customHeight="true" outlineLevel="0" collapsed="false">
      <c r="A33" s="0" t="s">
        <v>43</v>
      </c>
      <c r="B33" s="0" t="s">
        <v>44</v>
      </c>
    </row>
    <row r="34" customFormat="false" ht="15" hidden="false" customHeight="true" outlineLevel="0" collapsed="false">
      <c r="A34" s="0" t="s">
        <v>45</v>
      </c>
      <c r="B34" s="0" t="s">
        <v>46</v>
      </c>
    </row>
    <row r="35" customFormat="false" ht="15" hidden="false" customHeight="true" outlineLevel="0" collapsed="false">
      <c r="A35" s="0" t="s">
        <v>47</v>
      </c>
      <c r="B35" s="0" t="s">
        <v>48</v>
      </c>
    </row>
    <row r="37" customFormat="false" ht="15" hidden="false" customHeight="true" outlineLevel="0" collapsed="false">
      <c r="A37" s="2" t="s">
        <v>49</v>
      </c>
    </row>
    <row r="38" customFormat="false" ht="30" hidden="false" customHeight="true" outlineLevel="0" collapsed="false">
      <c r="A38" s="3" t="s">
        <v>50</v>
      </c>
      <c r="B38" s="3"/>
      <c r="C38" s="3"/>
    </row>
    <row r="40" customFormat="false" ht="15" hidden="false" customHeight="true" outlineLevel="0" collapsed="false">
      <c r="A40" s="2" t="s">
        <v>51</v>
      </c>
    </row>
    <row r="41" customFormat="false" ht="45" hidden="false" customHeight="true" outlineLevel="0" collapsed="false">
      <c r="A41" s="0" t="s">
        <v>52</v>
      </c>
      <c r="B41" s="4" t="s">
        <v>53</v>
      </c>
    </row>
    <row r="42" customFormat="false" ht="30" hidden="false" customHeight="true" outlineLevel="0" collapsed="false">
      <c r="A42" s="0" t="s">
        <v>54</v>
      </c>
      <c r="B42" s="4" t="s">
        <v>55</v>
      </c>
    </row>
    <row r="43" customFormat="false" ht="19.5" hidden="false" customHeight="true" outlineLevel="0" collapsed="false">
      <c r="A43" s="0" t="s">
        <v>56</v>
      </c>
      <c r="B43" s="4" t="s">
        <v>57</v>
      </c>
    </row>
    <row r="45" customFormat="false" ht="15" hidden="false" customHeight="false" outlineLevel="0" collapsed="false">
      <c r="A45" s="2" t="s">
        <v>58</v>
      </c>
    </row>
    <row r="46" customFormat="false" ht="30" hidden="false" customHeight="true" outlineLevel="0" collapsed="false">
      <c r="A46" s="0" t="s">
        <v>59</v>
      </c>
      <c r="B46" s="4" t="s">
        <v>60</v>
      </c>
    </row>
    <row r="47" customFormat="false" ht="30" hidden="false" customHeight="true" outlineLevel="0" collapsed="false">
      <c r="A47" s="0" t="s">
        <v>61</v>
      </c>
      <c r="B47" s="4" t="s">
        <v>62</v>
      </c>
    </row>
  </sheetData>
  <mergeCells count="1">
    <mergeCell ref="A38:C3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6796875" defaultRowHeight="15" zeroHeight="false" outlineLevelRow="0" outlineLevelCol="0"/>
  <sheetData>
    <row r="1" customFormat="false" ht="15.75" hidden="false" customHeight="true" outlineLevel="0" collapsed="false">
      <c r="A1" s="1" t="s">
        <v>63</v>
      </c>
    </row>
    <row r="3" customFormat="false" ht="15.75" hidden="false" customHeight="true" outlineLevel="0" collapsed="false">
      <c r="A3" s="1" t="s">
        <v>64</v>
      </c>
      <c r="B3" s="1" t="s">
        <v>65</v>
      </c>
      <c r="C3" s="1" t="s">
        <v>66</v>
      </c>
    </row>
    <row r="4" customFormat="false" ht="15.75" hidden="false" customHeight="true" outlineLevel="0" collapsed="false">
      <c r="A4" s="1" t="s">
        <v>67</v>
      </c>
    </row>
    <row r="5" customFormat="false" ht="15.75" hidden="false" customHeight="true" outlineLevel="0" collapsed="false">
      <c r="A5" s="1" t="s">
        <v>68</v>
      </c>
    </row>
    <row r="6" customFormat="false" ht="15.75" hidden="false" customHeight="true" outlineLevel="0" collapsed="false">
      <c r="A6" s="1" t="s">
        <v>69</v>
      </c>
    </row>
    <row r="7" customFormat="false" ht="15.75" hidden="false" customHeight="true" outlineLevel="0" collapsed="false">
      <c r="A7" s="1" t="s">
        <v>70</v>
      </c>
    </row>
    <row r="8" customFormat="false" ht="15.75" hidden="false" customHeight="true" outlineLevel="0" collapsed="false">
      <c r="A8" s="1" t="s">
        <v>71</v>
      </c>
    </row>
    <row r="9" customFormat="false" ht="15.75" hidden="false" customHeight="true" outlineLevel="0" collapsed="false">
      <c r="A9" s="1" t="s">
        <v>72</v>
      </c>
    </row>
    <row r="10" customFormat="false" ht="15.75" hidden="false" customHeight="true" outlineLevel="0" collapsed="false">
      <c r="A10" s="1" t="s">
        <v>73</v>
      </c>
    </row>
    <row r="11" customFormat="false" ht="15.75" hidden="false" customHeight="true" outlineLevel="0" collapsed="false">
      <c r="A11" s="1" t="s">
        <v>74</v>
      </c>
    </row>
    <row r="12" customFormat="false" ht="15.75" hidden="false" customHeight="true" outlineLevel="0" collapsed="false">
      <c r="A12" s="1" t="s">
        <v>75</v>
      </c>
    </row>
    <row r="13" customFormat="false" ht="15.75" hidden="false" customHeight="true" outlineLevel="0" collapsed="false">
      <c r="A13" s="1" t="s">
        <v>76</v>
      </c>
      <c r="B13" s="5" t="n">
        <v>46082</v>
      </c>
    </row>
    <row r="14" customFormat="false" ht="15.75" hidden="false" customHeight="true" outlineLevel="0" collapsed="false">
      <c r="A14" s="1" t="s">
        <v>77</v>
      </c>
    </row>
    <row r="15" customFormat="false" ht="15.75" hidden="false" customHeight="true" outlineLevel="0" collapsed="false">
      <c r="A15" s="1" t="s">
        <v>78</v>
      </c>
    </row>
    <row r="16" customFormat="false" ht="15.75" hidden="false" customHeight="true" outlineLevel="0" collapsed="false">
      <c r="A16" s="1" t="s">
        <v>79</v>
      </c>
    </row>
    <row r="17" customFormat="false" ht="15.75" hidden="false" customHeight="true" outlineLevel="0" collapsed="false">
      <c r="A17" s="1" t="s">
        <v>80</v>
      </c>
    </row>
    <row r="18" customFormat="false" ht="15.75" hidden="false" customHeight="true" outlineLevel="0" collapsed="false">
      <c r="A18" s="1" t="s">
        <v>81</v>
      </c>
    </row>
    <row r="19" customFormat="false" ht="15.75" hidden="false" customHeight="true" outlineLevel="0" collapsed="false">
      <c r="A19" s="1" t="s">
        <v>82</v>
      </c>
    </row>
    <row r="20" customFormat="false" ht="15.75" hidden="false" customHeight="true" outlineLevel="0" collapsed="false">
      <c r="A20" s="1" t="s">
        <v>83</v>
      </c>
    </row>
    <row r="21" customFormat="false" ht="15.75" hidden="false" customHeight="true" outlineLevel="0" collapsed="false">
      <c r="A21" s="1" t="s">
        <v>84</v>
      </c>
    </row>
    <row r="22" customFormat="false" ht="15.75" hidden="false" customHeight="true" outlineLevel="0" collapsed="false">
      <c r="A22" s="1" t="s">
        <v>85</v>
      </c>
    </row>
    <row r="23" customFormat="false" ht="15.75" hidden="false" customHeight="true" outlineLevel="0" collapsed="false">
      <c r="A23" s="1" t="s">
        <v>86</v>
      </c>
    </row>
    <row r="24" customFormat="false" ht="15.75" hidden="false" customHeight="true" outlineLevel="0" collapsed="false">
      <c r="A24" s="1" t="s">
        <v>87</v>
      </c>
    </row>
    <row r="25" customFormat="false" ht="15.75" hidden="false" customHeight="true" outlineLevel="0" collapsed="false">
      <c r="A25" s="1" t="s">
        <v>88</v>
      </c>
    </row>
    <row r="26" customFormat="false" ht="15.75" hidden="false" customHeight="true" outlineLevel="0" collapsed="false">
      <c r="A26" s="1" t="s">
        <v>89</v>
      </c>
    </row>
    <row r="27" customFormat="false" ht="15.75" hidden="false" customHeight="true" outlineLevel="0" collapsed="false">
      <c r="A27" s="1" t="s">
        <v>90</v>
      </c>
    </row>
    <row r="28" customFormat="false" ht="15.75" hidden="false" customHeight="true" outlineLevel="0" collapsed="false">
      <c r="A28" s="1" t="s">
        <v>91</v>
      </c>
    </row>
    <row r="29" customFormat="false" ht="15.75" hidden="false" customHeight="true" outlineLevel="0" collapsed="false">
      <c r="A29" s="1" t="s">
        <v>92</v>
      </c>
    </row>
    <row r="30" customFormat="false" ht="15" hidden="false" customHeight="true" outlineLevel="0" collapsed="false">
      <c r="A30" s="0" t="s">
        <v>93</v>
      </c>
    </row>
    <row r="31" customFormat="false" ht="15" hidden="false" customHeight="true" outlineLevel="0" collapsed="false">
      <c r="A31" s="0" t="s">
        <v>94</v>
      </c>
    </row>
    <row r="32" customFormat="false" ht="15" hidden="false" customHeight="true" outlineLevel="0" collapsed="false">
      <c r="A32" s="0" t="s">
        <v>95</v>
      </c>
    </row>
    <row r="33" customFormat="false" ht="15" hidden="false" customHeight="true" outlineLevel="0" collapsed="false">
      <c r="A33" s="0" t="s">
        <v>96</v>
      </c>
    </row>
    <row r="34" customFormat="false" ht="15" hidden="false" customHeight="true" outlineLevel="0" collapsed="false">
      <c r="A34" s="0" t="s">
        <v>97</v>
      </c>
    </row>
    <row r="35" customFormat="false" ht="15" hidden="false" customHeight="true" outlineLevel="0" collapsed="false">
      <c r="A35" s="0" t="s">
        <v>98</v>
      </c>
    </row>
    <row r="36" customFormat="false" ht="15" hidden="false" customHeight="true" outlineLevel="0" collapsed="false">
      <c r="A36" s="0" t="s">
        <v>99</v>
      </c>
      <c r="B36" s="6" t="n">
        <v>45078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6796875" defaultRowHeight="15" zeroHeight="false" outlineLevelRow="0" outlineLevelCol="0"/>
  <sheetData>
    <row r="1" customFormat="false" ht="15.75" hidden="false" customHeight="true" outlineLevel="0" collapsed="false">
      <c r="A1" s="1" t="s">
        <v>100</v>
      </c>
    </row>
    <row r="2" customFormat="false" ht="15" hidden="false" customHeight="true" outlineLevel="0" collapsed="false"/>
    <row r="3" customFormat="false" ht="15.75" hidden="false" customHeight="true" outlineLevel="0" collapsed="false">
      <c r="A3" s="1" t="s">
        <v>101</v>
      </c>
      <c r="B3" s="1" t="s">
        <v>102</v>
      </c>
      <c r="C3" s="1" t="s">
        <v>103</v>
      </c>
    </row>
    <row r="4" customFormat="false" ht="15.75" hidden="false" customHeight="true" outlineLevel="0" collapsed="false">
      <c r="A4" s="1" t="n">
        <v>46072</v>
      </c>
      <c r="B4" s="1" t="s">
        <v>104</v>
      </c>
      <c r="C4" s="1" t="s">
        <v>105</v>
      </c>
    </row>
    <row r="5" customFormat="false" ht="15.75" hidden="false" customHeight="true" outlineLevel="0" collapsed="false">
      <c r="A5" s="1" t="n">
        <v>46107</v>
      </c>
      <c r="B5" s="1" t="s">
        <v>106</v>
      </c>
      <c r="C5" s="1" t="s">
        <v>107</v>
      </c>
    </row>
    <row r="6" customFormat="false" ht="15.75" hidden="false" customHeight="true" outlineLevel="0" collapsed="false">
      <c r="A6" s="1" t="n">
        <v>46135</v>
      </c>
      <c r="B6" s="1" t="s">
        <v>106</v>
      </c>
      <c r="C6" s="1" t="s">
        <v>108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2" min="2" style="0" width="8"/>
    <col collapsed="false" customWidth="true" hidden="false" outlineLevel="0" max="23" min="23" style="0" width="18"/>
  </cols>
  <sheetData>
    <row r="1" customFormat="false" ht="21.75" hidden="false" customHeight="true" outlineLevel="0" collapsed="false">
      <c r="A1" s="7" t="s">
        <v>109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3" customFormat="false" ht="21.75" hidden="false" customHeight="true" outlineLevel="0" collapsed="false">
      <c r="A3" s="8" t="s">
        <v>64</v>
      </c>
      <c r="B3" s="9" t="n">
        <v>46055</v>
      </c>
      <c r="C3" s="9" t="n">
        <v>46056</v>
      </c>
      <c r="D3" s="9" t="n">
        <v>46057</v>
      </c>
      <c r="E3" s="9" t="n">
        <v>46058</v>
      </c>
      <c r="F3" s="9" t="n">
        <v>46059</v>
      </c>
      <c r="G3" s="10" t="n">
        <v>46062</v>
      </c>
      <c r="H3" s="9" t="n">
        <v>46063</v>
      </c>
      <c r="I3" s="9" t="n">
        <v>46064</v>
      </c>
      <c r="J3" s="9" t="n">
        <v>46065</v>
      </c>
      <c r="K3" s="9" t="n">
        <v>46066</v>
      </c>
      <c r="L3" s="10" t="n">
        <v>46069</v>
      </c>
      <c r="M3" s="9" t="n">
        <v>46070</v>
      </c>
      <c r="N3" s="9" t="n">
        <v>46071</v>
      </c>
      <c r="O3" s="9" t="n">
        <v>46072</v>
      </c>
      <c r="P3" s="9" t="n">
        <v>46073</v>
      </c>
      <c r="Q3" s="10" t="n">
        <v>46076</v>
      </c>
      <c r="R3" s="9" t="n">
        <v>46077</v>
      </c>
      <c r="S3" s="9" t="n">
        <v>46078</v>
      </c>
      <c r="T3" s="9" t="n">
        <v>46079</v>
      </c>
      <c r="U3" s="9" t="n">
        <v>46080</v>
      </c>
      <c r="V3" s="11" t="s">
        <v>110</v>
      </c>
      <c r="W3" s="12" t="s">
        <v>111</v>
      </c>
    </row>
    <row r="4" customFormat="false" ht="18" hidden="false" customHeight="true" outlineLevel="0" collapsed="false">
      <c r="A4" s="13" t="s">
        <v>77</v>
      </c>
      <c r="B4" s="14"/>
      <c r="C4" s="14"/>
      <c r="D4" s="14"/>
      <c r="E4" s="14"/>
      <c r="F4" s="14"/>
      <c r="G4" s="15"/>
      <c r="H4" s="16" t="n">
        <v>1</v>
      </c>
      <c r="I4" s="14"/>
      <c r="J4" s="14"/>
      <c r="K4" s="14"/>
      <c r="L4" s="15"/>
      <c r="M4" s="14"/>
      <c r="N4" s="14"/>
      <c r="O4" s="16" t="n">
        <v>1</v>
      </c>
      <c r="P4" s="14"/>
      <c r="Q4" s="15"/>
      <c r="R4" s="16" t="n">
        <v>1</v>
      </c>
      <c r="S4" s="14"/>
      <c r="T4" s="14"/>
      <c r="U4" s="14"/>
      <c r="V4" s="17" t="n">
        <f aca="false">COUNTIF(B4:U4,1)+COUNTIF(B4:U4,"IC")</f>
        <v>3</v>
      </c>
      <c r="W4" s="14" t="str">
        <f aca="false">IF(COUNTIF(B4:U4,"M")&gt;0,"N/A absence longue",IF(V4&gt;=2,"Atteint","Sous objectif"))</f>
        <v>Atteint</v>
      </c>
    </row>
    <row r="5" customFormat="false" ht="18" hidden="false" customHeight="true" outlineLevel="0" collapsed="false">
      <c r="A5" s="13" t="s">
        <v>92</v>
      </c>
      <c r="B5" s="18" t="s">
        <v>15</v>
      </c>
      <c r="C5" s="18" t="s">
        <v>15</v>
      </c>
      <c r="D5" s="18" t="s">
        <v>15</v>
      </c>
      <c r="E5" s="18" t="s">
        <v>15</v>
      </c>
      <c r="F5" s="18" t="s">
        <v>15</v>
      </c>
      <c r="G5" s="19" t="s">
        <v>15</v>
      </c>
      <c r="H5" s="18" t="s">
        <v>15</v>
      </c>
      <c r="I5" s="18" t="s">
        <v>15</v>
      </c>
      <c r="J5" s="18" t="s">
        <v>15</v>
      </c>
      <c r="K5" s="18" t="s">
        <v>15</v>
      </c>
      <c r="L5" s="19" t="s">
        <v>15</v>
      </c>
      <c r="M5" s="18" t="s">
        <v>15</v>
      </c>
      <c r="N5" s="18" t="s">
        <v>15</v>
      </c>
      <c r="O5" s="18" t="s">
        <v>15</v>
      </c>
      <c r="P5" s="18" t="s">
        <v>15</v>
      </c>
      <c r="Q5" s="19" t="s">
        <v>15</v>
      </c>
      <c r="R5" s="18" t="s">
        <v>15</v>
      </c>
      <c r="S5" s="18" t="s">
        <v>15</v>
      </c>
      <c r="T5" s="18" t="s">
        <v>15</v>
      </c>
      <c r="U5" s="18" t="s">
        <v>15</v>
      </c>
      <c r="V5" s="17" t="n">
        <f aca="false">COUNTIF(B5:U5,1)+COUNTIF(B5:U5,"IC")</f>
        <v>0</v>
      </c>
      <c r="W5" s="14" t="str">
        <f aca="false">IF(COUNTIF(B5:U5,"M")&gt;0,"N/A absence longue",IF(V5&gt;=2,"Atteint","Sous objectif"))</f>
        <v>N/A absence longue</v>
      </c>
    </row>
    <row r="6" customFormat="false" ht="18" hidden="false" customHeight="true" outlineLevel="0" collapsed="false">
      <c r="A6" s="13" t="s">
        <v>74</v>
      </c>
      <c r="B6" s="14"/>
      <c r="C6" s="14"/>
      <c r="D6" s="14"/>
      <c r="E6" s="14"/>
      <c r="F6" s="14"/>
      <c r="G6" s="15"/>
      <c r="H6" s="14"/>
      <c r="I6" s="14"/>
      <c r="J6" s="14"/>
      <c r="K6" s="14"/>
      <c r="L6" s="15"/>
      <c r="M6" s="14"/>
      <c r="N6" s="14"/>
      <c r="O6" s="16" t="n">
        <v>1</v>
      </c>
      <c r="P6" s="14"/>
      <c r="Q6" s="15"/>
      <c r="R6" s="14"/>
      <c r="S6" s="14"/>
      <c r="T6" s="14"/>
      <c r="U6" s="14"/>
      <c r="V6" s="17" t="n">
        <f aca="false">COUNTIF(B6:U6,1)+COUNTIF(B6:U6,"IC")</f>
        <v>1</v>
      </c>
      <c r="W6" s="14" t="str">
        <f aca="false">IF(COUNTIF(B6:U6,"M")&gt;0,"N/A absence longue",IF(V6&gt;=2,"Atteint","Sous objectif"))</f>
        <v>Sous objectif</v>
      </c>
    </row>
    <row r="7" customFormat="false" ht="18" hidden="false" customHeight="true" outlineLevel="0" collapsed="false">
      <c r="A7" s="13" t="s">
        <v>84</v>
      </c>
      <c r="B7" s="14"/>
      <c r="C7" s="16" t="n">
        <v>1</v>
      </c>
      <c r="D7" s="14"/>
      <c r="E7" s="16" t="n">
        <v>1</v>
      </c>
      <c r="F7" s="14"/>
      <c r="G7" s="15"/>
      <c r="H7" s="14"/>
      <c r="I7" s="14"/>
      <c r="J7" s="16" t="n">
        <v>1</v>
      </c>
      <c r="K7" s="14"/>
      <c r="L7" s="15"/>
      <c r="M7" s="14"/>
      <c r="N7" s="14"/>
      <c r="O7" s="16" t="n">
        <v>1</v>
      </c>
      <c r="P7" s="14"/>
      <c r="Q7" s="15"/>
      <c r="R7" s="16" t="n">
        <v>1</v>
      </c>
      <c r="S7" s="14"/>
      <c r="T7" s="14"/>
      <c r="U7" s="14"/>
      <c r="V7" s="17" t="n">
        <f aca="false">COUNTIF(B7:U7,1)+COUNTIF(B7:U7,"IC")</f>
        <v>5</v>
      </c>
      <c r="W7" s="14" t="str">
        <f aca="false">IF(COUNTIF(B7:U7,"M")&gt;0,"N/A absence longue",IF(V7&gt;=2,"Atteint","Sous objectif"))</f>
        <v>Atteint</v>
      </c>
    </row>
    <row r="8" customFormat="false" ht="18" hidden="false" customHeight="true" outlineLevel="0" collapsed="false">
      <c r="A8" s="13" t="s">
        <v>83</v>
      </c>
      <c r="B8" s="20" t="s">
        <v>9</v>
      </c>
      <c r="C8" s="20" t="s">
        <v>9</v>
      </c>
      <c r="D8" s="14"/>
      <c r="E8" s="20" t="s">
        <v>9</v>
      </c>
      <c r="F8" s="14"/>
      <c r="G8" s="15"/>
      <c r="H8" s="20" t="s">
        <v>9</v>
      </c>
      <c r="I8" s="20" t="s">
        <v>9</v>
      </c>
      <c r="J8" s="20" t="s">
        <v>9</v>
      </c>
      <c r="K8" s="14"/>
      <c r="L8" s="21" t="s">
        <v>9</v>
      </c>
      <c r="M8" s="20" t="s">
        <v>9</v>
      </c>
      <c r="N8" s="14"/>
      <c r="O8" s="14"/>
      <c r="P8" s="14"/>
      <c r="Q8" s="21" t="s">
        <v>9</v>
      </c>
      <c r="R8" s="20" t="s">
        <v>9</v>
      </c>
      <c r="S8" s="14"/>
      <c r="T8" s="20" t="s">
        <v>9</v>
      </c>
      <c r="U8" s="14"/>
      <c r="V8" s="17" t="n">
        <f aca="false">COUNTIF(B8:U8,1)+COUNTIF(B8:U8,"IC")</f>
        <v>11</v>
      </c>
      <c r="W8" s="14" t="str">
        <f aca="false">IF(COUNTIF(B8:U8,"M")&gt;0,"N/A absence longue",IF(V8&gt;=2,"Atteint","Sous objectif"))</f>
        <v>Atteint</v>
      </c>
    </row>
    <row r="9" customFormat="false" ht="18" hidden="false" customHeight="true" outlineLevel="0" collapsed="false">
      <c r="A9" s="13" t="s">
        <v>71</v>
      </c>
      <c r="B9" s="14"/>
      <c r="C9" s="14"/>
      <c r="D9" s="14"/>
      <c r="E9" s="14"/>
      <c r="F9" s="14"/>
      <c r="G9" s="15"/>
      <c r="H9" s="14"/>
      <c r="I9" s="14"/>
      <c r="J9" s="14"/>
      <c r="K9" s="14"/>
      <c r="L9" s="15"/>
      <c r="M9" s="14"/>
      <c r="N9" s="14"/>
      <c r="O9" s="16" t="n">
        <v>1</v>
      </c>
      <c r="P9" s="14"/>
      <c r="Q9" s="15"/>
      <c r="R9" s="14"/>
      <c r="S9" s="14"/>
      <c r="T9" s="14"/>
      <c r="U9" s="14"/>
      <c r="V9" s="17" t="n">
        <f aca="false">COUNTIF(B9:U9,1)+COUNTIF(B9:U9,"IC")</f>
        <v>1</v>
      </c>
      <c r="W9" s="14" t="str">
        <f aca="false">IF(COUNTIF(B9:U9,"M")&gt;0,"N/A absence longue",IF(V9&gt;=2,"Atteint","Sous objectif"))</f>
        <v>Sous objectif</v>
      </c>
    </row>
    <row r="10" customFormat="false" ht="18" hidden="false" customHeight="true" outlineLevel="0" collapsed="false">
      <c r="A10" s="13" t="s">
        <v>86</v>
      </c>
      <c r="B10" s="14"/>
      <c r="C10" s="16" t="n">
        <v>1</v>
      </c>
      <c r="D10" s="14"/>
      <c r="E10" s="16" t="n">
        <v>1</v>
      </c>
      <c r="F10" s="14"/>
      <c r="G10" s="15"/>
      <c r="H10" s="16" t="n">
        <v>1</v>
      </c>
      <c r="I10" s="14"/>
      <c r="J10" s="16" t="n">
        <v>1</v>
      </c>
      <c r="K10" s="14"/>
      <c r="L10" s="15"/>
      <c r="M10" s="16" t="n">
        <v>1</v>
      </c>
      <c r="N10" s="14"/>
      <c r="O10" s="16" t="n">
        <v>1</v>
      </c>
      <c r="P10" s="14"/>
      <c r="Q10" s="15"/>
      <c r="R10" s="16" t="n">
        <v>1</v>
      </c>
      <c r="S10" s="14"/>
      <c r="T10" s="16" t="n">
        <v>1</v>
      </c>
      <c r="U10" s="14"/>
      <c r="V10" s="17" t="n">
        <f aca="false">COUNTIF(B10:U10,1)+COUNTIF(B10:U10,"IC")</f>
        <v>8</v>
      </c>
      <c r="W10" s="14" t="str">
        <f aca="false">IF(COUNTIF(B10:U10,"M")&gt;0,"N/A absence longue",IF(V10&gt;=2,"Atteint","Sous objectif"))</f>
        <v>Atteint</v>
      </c>
    </row>
    <row r="11" customFormat="false" ht="18" hidden="false" customHeight="true" outlineLevel="0" collapsed="false">
      <c r="A11" s="13" t="s">
        <v>82</v>
      </c>
      <c r="B11" s="14"/>
      <c r="C11" s="14"/>
      <c r="D11" s="14"/>
      <c r="E11" s="14"/>
      <c r="F11" s="14"/>
      <c r="G11" s="15"/>
      <c r="H11" s="14"/>
      <c r="I11" s="14"/>
      <c r="J11" s="14"/>
      <c r="K11" s="14"/>
      <c r="L11" s="15"/>
      <c r="M11" s="14"/>
      <c r="N11" s="14"/>
      <c r="O11" s="14"/>
      <c r="P11" s="14"/>
      <c r="Q11" s="15"/>
      <c r="R11" s="14"/>
      <c r="S11" s="14"/>
      <c r="T11" s="14"/>
      <c r="U11" s="14"/>
      <c r="V11" s="17" t="n">
        <f aca="false">COUNTIF(B11:U11,1)+COUNTIF(B11:U11,"IC")</f>
        <v>0</v>
      </c>
      <c r="W11" s="14" t="str">
        <f aca="false">IF(COUNTIF(B11:U11,"M")&gt;0,"N/A absence longue",IF(V11&gt;=2,"Atteint","Sous objectif"))</f>
        <v>Sous objectif</v>
      </c>
    </row>
    <row r="12" customFormat="false" ht="18" hidden="false" customHeight="true" outlineLevel="0" collapsed="false">
      <c r="A12" s="13" t="s">
        <v>70</v>
      </c>
      <c r="B12" s="16" t="n">
        <v>1</v>
      </c>
      <c r="C12" s="16" t="n">
        <v>1</v>
      </c>
      <c r="D12" s="14"/>
      <c r="E12" s="16" t="n">
        <v>1</v>
      </c>
      <c r="F12" s="14"/>
      <c r="G12" s="15"/>
      <c r="H12" s="14"/>
      <c r="I12" s="14"/>
      <c r="J12" s="14"/>
      <c r="K12" s="14"/>
      <c r="L12" s="15"/>
      <c r="M12" s="14"/>
      <c r="N12" s="14"/>
      <c r="O12" s="14"/>
      <c r="P12" s="14"/>
      <c r="Q12" s="15"/>
      <c r="R12" s="16" t="n">
        <v>1</v>
      </c>
      <c r="S12" s="14"/>
      <c r="T12" s="14"/>
      <c r="U12" s="14"/>
      <c r="V12" s="17" t="n">
        <f aca="false">COUNTIF(B12:U12,1)+COUNTIF(B12:U12,"IC")</f>
        <v>4</v>
      </c>
      <c r="W12" s="14" t="str">
        <f aca="false">IF(COUNTIF(B12:U12,"M")&gt;0,"N/A absence longue",IF(V12&gt;=2,"Atteint","Sous objectif"))</f>
        <v>Atteint</v>
      </c>
    </row>
    <row r="13" customFormat="false" ht="18" hidden="false" customHeight="true" outlineLevel="0" collapsed="false">
      <c r="A13" s="13" t="s">
        <v>67</v>
      </c>
      <c r="B13" s="14"/>
      <c r="C13" s="14"/>
      <c r="D13" s="14"/>
      <c r="E13" s="14"/>
      <c r="F13" s="14"/>
      <c r="G13" s="15"/>
      <c r="H13" s="14"/>
      <c r="I13" s="14"/>
      <c r="J13" s="14"/>
      <c r="K13" s="14"/>
      <c r="L13" s="15"/>
      <c r="M13" s="14"/>
      <c r="N13" s="14"/>
      <c r="O13" s="14"/>
      <c r="P13" s="14"/>
      <c r="Q13" s="15"/>
      <c r="R13" s="14"/>
      <c r="S13" s="14"/>
      <c r="T13" s="14"/>
      <c r="U13" s="14"/>
      <c r="V13" s="17" t="n">
        <f aca="false">COUNTIF(B13:U13,1)+COUNTIF(B13:U13,"IC")</f>
        <v>0</v>
      </c>
      <c r="W13" s="14" t="str">
        <f aca="false">IF(COUNTIF(B13:U13,"M")&gt;0,"N/A absence longue",IF(V13&gt;=2,"Atteint","Sous objectif"))</f>
        <v>Sous objectif</v>
      </c>
    </row>
    <row r="14" customFormat="false" ht="18" hidden="false" customHeight="true" outlineLevel="0" collapsed="false">
      <c r="A14" s="13" t="s">
        <v>90</v>
      </c>
      <c r="B14" s="14"/>
      <c r="C14" s="16" t="n">
        <v>1</v>
      </c>
      <c r="D14" s="14"/>
      <c r="E14" s="14"/>
      <c r="F14" s="14"/>
      <c r="G14" s="15"/>
      <c r="H14" s="16" t="n">
        <v>1</v>
      </c>
      <c r="I14" s="14"/>
      <c r="J14" s="14"/>
      <c r="K14" s="14"/>
      <c r="L14" s="15"/>
      <c r="M14" s="14"/>
      <c r="N14" s="14"/>
      <c r="O14" s="14"/>
      <c r="P14" s="14"/>
      <c r="Q14" s="15"/>
      <c r="R14" s="16" t="n">
        <v>1</v>
      </c>
      <c r="S14" s="14"/>
      <c r="T14" s="14"/>
      <c r="U14" s="14"/>
      <c r="V14" s="17" t="n">
        <f aca="false">COUNTIF(B14:U14,1)+COUNTIF(B14:U14,"IC")</f>
        <v>3</v>
      </c>
      <c r="W14" s="14" t="str">
        <f aca="false">IF(COUNTIF(B14:U14,"M")&gt;0,"N/A absence longue",IF(V14&gt;=2,"Atteint","Sous objectif"))</f>
        <v>Atteint</v>
      </c>
    </row>
    <row r="15" customFormat="false" ht="18" hidden="false" customHeight="true" outlineLevel="0" collapsed="false">
      <c r="A15" s="13" t="s">
        <v>78</v>
      </c>
      <c r="B15" s="14"/>
      <c r="C15" s="14"/>
      <c r="D15" s="14"/>
      <c r="E15" s="14"/>
      <c r="F15" s="14"/>
      <c r="G15" s="15"/>
      <c r="H15" s="16" t="n">
        <v>1</v>
      </c>
      <c r="I15" s="14"/>
      <c r="J15" s="14"/>
      <c r="K15" s="14"/>
      <c r="L15" s="15"/>
      <c r="M15" s="14"/>
      <c r="N15" s="14"/>
      <c r="O15" s="16" t="n">
        <v>1</v>
      </c>
      <c r="P15" s="14"/>
      <c r="Q15" s="15"/>
      <c r="R15" s="14"/>
      <c r="S15" s="14"/>
      <c r="T15" s="14"/>
      <c r="U15" s="14"/>
      <c r="V15" s="17" t="n">
        <f aca="false">COUNTIF(B15:U15,1)+COUNTIF(B15:U15,"IC")</f>
        <v>2</v>
      </c>
      <c r="W15" s="14" t="str">
        <f aca="false">IF(COUNTIF(B15:U15,"M")&gt;0,"N/A absence longue",IF(V15&gt;=2,"Atteint","Sous objectif"))</f>
        <v>Atteint</v>
      </c>
    </row>
    <row r="16" customFormat="false" ht="18" hidden="false" customHeight="true" outlineLevel="0" collapsed="false">
      <c r="A16" s="13" t="s">
        <v>91</v>
      </c>
      <c r="B16" s="14"/>
      <c r="C16" s="14"/>
      <c r="D16" s="14"/>
      <c r="E16" s="14"/>
      <c r="F16" s="14"/>
      <c r="G16" s="15"/>
      <c r="H16" s="16" t="n">
        <v>1</v>
      </c>
      <c r="I16" s="14"/>
      <c r="J16" s="14"/>
      <c r="K16" s="14"/>
      <c r="L16" s="15"/>
      <c r="M16" s="14"/>
      <c r="N16" s="14"/>
      <c r="O16" s="16" t="n">
        <v>1</v>
      </c>
      <c r="P16" s="14"/>
      <c r="Q16" s="15"/>
      <c r="R16" s="16" t="n">
        <v>1</v>
      </c>
      <c r="S16" s="14"/>
      <c r="T16" s="14"/>
      <c r="U16" s="14"/>
      <c r="V16" s="17" t="n">
        <f aca="false">COUNTIF(B16:U16,1)+COUNTIF(B16:U16,"IC")</f>
        <v>3</v>
      </c>
      <c r="W16" s="14" t="str">
        <f aca="false">IF(COUNTIF(B16:U16,"M")&gt;0,"N/A absence longue",IF(V16&gt;=2,"Atteint","Sous objectif"))</f>
        <v>Atteint</v>
      </c>
    </row>
    <row r="17" customFormat="false" ht="18" hidden="false" customHeight="true" outlineLevel="0" collapsed="false">
      <c r="A17" s="13" t="s">
        <v>75</v>
      </c>
      <c r="B17" s="14"/>
      <c r="C17" s="14"/>
      <c r="D17" s="14"/>
      <c r="E17" s="14"/>
      <c r="F17" s="14"/>
      <c r="G17" s="15"/>
      <c r="H17" s="14"/>
      <c r="I17" s="14"/>
      <c r="J17" s="14"/>
      <c r="K17" s="14"/>
      <c r="L17" s="15"/>
      <c r="M17" s="14"/>
      <c r="N17" s="14"/>
      <c r="O17" s="14"/>
      <c r="P17" s="14"/>
      <c r="Q17" s="15"/>
      <c r="R17" s="14"/>
      <c r="S17" s="14"/>
      <c r="T17" s="14"/>
      <c r="U17" s="14"/>
      <c r="V17" s="17" t="n">
        <f aca="false">COUNTIF(B17:U17,1)+COUNTIF(B17:U17,"IC")</f>
        <v>0</v>
      </c>
      <c r="W17" s="14" t="str">
        <f aca="false">IF(COUNTIF(B17:U17,"M")&gt;0,"N/A absence longue",IF(V17&gt;=2,"Atteint","Sous objectif"))</f>
        <v>Sous objectif</v>
      </c>
    </row>
    <row r="18" customFormat="false" ht="18" hidden="false" customHeight="true" outlineLevel="0" collapsed="false">
      <c r="A18" s="13" t="s">
        <v>81</v>
      </c>
      <c r="B18" s="14"/>
      <c r="C18" s="14"/>
      <c r="D18" s="14"/>
      <c r="E18" s="14"/>
      <c r="F18" s="14"/>
      <c r="G18" s="15"/>
      <c r="H18" s="16" t="n">
        <v>1</v>
      </c>
      <c r="I18" s="14"/>
      <c r="J18" s="14"/>
      <c r="K18" s="14"/>
      <c r="L18" s="15"/>
      <c r="M18" s="16" t="n">
        <v>1</v>
      </c>
      <c r="N18" s="14"/>
      <c r="O18" s="16" t="n">
        <v>1</v>
      </c>
      <c r="P18" s="14"/>
      <c r="Q18" s="15"/>
      <c r="R18" s="14"/>
      <c r="S18" s="14"/>
      <c r="T18" s="14"/>
      <c r="U18" s="14"/>
      <c r="V18" s="17" t="n">
        <f aca="false">COUNTIF(B18:U18,1)+COUNTIF(B18:U18,"IC")</f>
        <v>3</v>
      </c>
      <c r="W18" s="14" t="str">
        <f aca="false">IF(COUNTIF(B18:U18,"M")&gt;0,"N/A absence longue",IF(V18&gt;=2,"Atteint","Sous objectif"))</f>
        <v>Atteint</v>
      </c>
    </row>
    <row r="19" customFormat="false" ht="18" hidden="false" customHeight="true" outlineLevel="0" collapsed="false">
      <c r="A19" s="13" t="s">
        <v>89</v>
      </c>
      <c r="B19" s="14"/>
      <c r="C19" s="14"/>
      <c r="D19" s="14"/>
      <c r="E19" s="14"/>
      <c r="F19" s="14"/>
      <c r="G19" s="15"/>
      <c r="H19" s="16" t="n">
        <v>1</v>
      </c>
      <c r="I19" s="14"/>
      <c r="J19" s="14"/>
      <c r="K19" s="14"/>
      <c r="L19" s="15"/>
      <c r="M19" s="14"/>
      <c r="N19" s="14"/>
      <c r="O19" s="14"/>
      <c r="P19" s="14"/>
      <c r="Q19" s="15"/>
      <c r="R19" s="14"/>
      <c r="S19" s="14"/>
      <c r="T19" s="14"/>
      <c r="U19" s="14"/>
      <c r="V19" s="17" t="n">
        <f aca="false">COUNTIF(B19:U19,1)+COUNTIF(B19:U19,"IC")</f>
        <v>1</v>
      </c>
      <c r="W19" s="14" t="str">
        <f aca="false">IF(COUNTIF(B19:U19,"M")&gt;0,"N/A absence longue",IF(V19&gt;=2,"Atteint","Sous objectif"))</f>
        <v>Sous objectif</v>
      </c>
    </row>
    <row r="20" customFormat="false" ht="18" hidden="false" customHeight="true" outlineLevel="0" collapsed="false">
      <c r="A20" s="13" t="s">
        <v>80</v>
      </c>
      <c r="B20" s="14"/>
      <c r="C20" s="14"/>
      <c r="D20" s="14"/>
      <c r="E20" s="14"/>
      <c r="F20" s="14"/>
      <c r="G20" s="15"/>
      <c r="H20" s="16" t="n">
        <v>1</v>
      </c>
      <c r="I20" s="14"/>
      <c r="J20" s="14"/>
      <c r="K20" s="14"/>
      <c r="L20" s="15"/>
      <c r="M20" s="14"/>
      <c r="N20" s="14"/>
      <c r="O20" s="16" t="n">
        <v>1</v>
      </c>
      <c r="P20" s="14"/>
      <c r="Q20" s="15"/>
      <c r="R20" s="14"/>
      <c r="S20" s="14"/>
      <c r="T20" s="14"/>
      <c r="U20" s="14"/>
      <c r="V20" s="17" t="n">
        <f aca="false">COUNTIF(B20:U20,1)+COUNTIF(B20:U20,"IC")</f>
        <v>2</v>
      </c>
      <c r="W20" s="14" t="str">
        <f aca="false">IF(COUNTIF(B20:U20,"M")&gt;0,"N/A absence longue",IF(V20&gt;=2,"Atteint","Sous objectif"))</f>
        <v>Atteint</v>
      </c>
    </row>
    <row r="21" customFormat="false" ht="18" hidden="false" customHeight="true" outlineLevel="0" collapsed="false">
      <c r="A21" s="13" t="s">
        <v>72</v>
      </c>
      <c r="B21" s="14"/>
      <c r="C21" s="14"/>
      <c r="D21" s="14"/>
      <c r="E21" s="14"/>
      <c r="F21" s="14"/>
      <c r="G21" s="15"/>
      <c r="H21" s="16" t="n">
        <v>1</v>
      </c>
      <c r="I21" s="14"/>
      <c r="J21" s="14"/>
      <c r="K21" s="14"/>
      <c r="L21" s="15"/>
      <c r="M21" s="14"/>
      <c r="N21" s="14"/>
      <c r="O21" s="16" t="n">
        <v>1</v>
      </c>
      <c r="P21" s="14"/>
      <c r="Q21" s="15"/>
      <c r="R21" s="14"/>
      <c r="S21" s="14"/>
      <c r="T21" s="14"/>
      <c r="U21" s="14"/>
      <c r="V21" s="17" t="n">
        <f aca="false">COUNTIF(B21:U21,1)+COUNTIF(B21:U21,"IC")</f>
        <v>2</v>
      </c>
      <c r="W21" s="14" t="str">
        <f aca="false">IF(COUNTIF(B21:U21,"M")&gt;0,"N/A absence longue",IF(V21&gt;=2,"Atteint","Sous objectif"))</f>
        <v>Atteint</v>
      </c>
    </row>
    <row r="22" customFormat="false" ht="18" hidden="false" customHeight="true" outlineLevel="0" collapsed="false">
      <c r="A22" s="13" t="s">
        <v>73</v>
      </c>
      <c r="B22" s="14"/>
      <c r="C22" s="14"/>
      <c r="D22" s="14"/>
      <c r="E22" s="14"/>
      <c r="F22" s="14"/>
      <c r="G22" s="15"/>
      <c r="H22" s="16" t="n">
        <v>1</v>
      </c>
      <c r="I22" s="14"/>
      <c r="J22" s="14"/>
      <c r="K22" s="14"/>
      <c r="L22" s="15"/>
      <c r="M22" s="14"/>
      <c r="N22" s="14"/>
      <c r="O22" s="16" t="n">
        <v>1</v>
      </c>
      <c r="P22" s="14"/>
      <c r="Q22" s="15"/>
      <c r="R22" s="14"/>
      <c r="S22" s="14"/>
      <c r="T22" s="14"/>
      <c r="U22" s="14"/>
      <c r="V22" s="17" t="n">
        <f aca="false">COUNTIF(B22:U22,1)+COUNTIF(B22:U22,"IC")</f>
        <v>2</v>
      </c>
      <c r="W22" s="14" t="str">
        <f aca="false">IF(COUNTIF(B22:U22,"M")&gt;0,"N/A absence longue",IF(V22&gt;=2,"Atteint","Sous objectif"))</f>
        <v>Atteint</v>
      </c>
    </row>
    <row r="23" customFormat="false" ht="18" hidden="false" customHeight="true" outlineLevel="0" collapsed="false">
      <c r="A23" s="13" t="s">
        <v>69</v>
      </c>
      <c r="B23" s="14"/>
      <c r="C23" s="14"/>
      <c r="D23" s="14"/>
      <c r="E23" s="14"/>
      <c r="F23" s="14"/>
      <c r="G23" s="15"/>
      <c r="H23" s="14"/>
      <c r="I23" s="14"/>
      <c r="J23" s="14"/>
      <c r="K23" s="14"/>
      <c r="L23" s="15"/>
      <c r="M23" s="14"/>
      <c r="N23" s="14"/>
      <c r="O23" s="14"/>
      <c r="P23" s="14"/>
      <c r="Q23" s="15"/>
      <c r="R23" s="16" t="n">
        <v>1</v>
      </c>
      <c r="S23" s="14"/>
      <c r="T23" s="14"/>
      <c r="U23" s="14"/>
      <c r="V23" s="17" t="n">
        <f aca="false">COUNTIF(B23:U23,1)+COUNTIF(B23:U23,"IC")</f>
        <v>1</v>
      </c>
      <c r="W23" s="14" t="str">
        <f aca="false">IF(COUNTIF(B23:U23,"M")&gt;0,"N/A absence longue",IF(V23&gt;=2,"Atteint","Sous objectif"))</f>
        <v>Sous objectif</v>
      </c>
    </row>
    <row r="24" customFormat="false" ht="18" hidden="false" customHeight="true" outlineLevel="0" collapsed="false">
      <c r="A24" s="13" t="s">
        <v>79</v>
      </c>
      <c r="B24" s="14"/>
      <c r="C24" s="14"/>
      <c r="D24" s="14"/>
      <c r="E24" s="14"/>
      <c r="F24" s="14"/>
      <c r="G24" s="15"/>
      <c r="H24" s="14"/>
      <c r="I24" s="14"/>
      <c r="J24" s="14"/>
      <c r="K24" s="14"/>
      <c r="L24" s="15"/>
      <c r="M24" s="14"/>
      <c r="N24" s="14"/>
      <c r="O24" s="14"/>
      <c r="P24" s="14"/>
      <c r="Q24" s="15"/>
      <c r="R24" s="14"/>
      <c r="S24" s="14"/>
      <c r="T24" s="14"/>
      <c r="U24" s="14"/>
      <c r="V24" s="17" t="n">
        <f aca="false">COUNTIF(B24:U24,1)+COUNTIF(B24:U24,"IC")</f>
        <v>0</v>
      </c>
      <c r="W24" s="14" t="str">
        <f aca="false">IF(COUNTIF(B24:U24,"M")&gt;0,"N/A absence longue",IF(V24&gt;=2,"Atteint","Sous objectif"))</f>
        <v>Sous objectif</v>
      </c>
    </row>
    <row r="25" customFormat="false" ht="18" hidden="false" customHeight="true" outlineLevel="0" collapsed="false">
      <c r="A25" s="13" t="s">
        <v>87</v>
      </c>
      <c r="B25" s="16" t="n">
        <v>1</v>
      </c>
      <c r="C25" s="16" t="n">
        <v>1</v>
      </c>
      <c r="D25" s="14"/>
      <c r="E25" s="16" t="n">
        <v>1</v>
      </c>
      <c r="F25" s="14"/>
      <c r="G25" s="22" t="n">
        <v>1</v>
      </c>
      <c r="H25" s="16" t="n">
        <v>1</v>
      </c>
      <c r="I25" s="14"/>
      <c r="J25" s="16" t="n">
        <v>1</v>
      </c>
      <c r="K25" s="14"/>
      <c r="L25" s="22" t="n">
        <v>1</v>
      </c>
      <c r="M25" s="14"/>
      <c r="N25" s="14"/>
      <c r="O25" s="16" t="n">
        <v>1</v>
      </c>
      <c r="P25" s="14"/>
      <c r="Q25" s="22" t="n">
        <v>1</v>
      </c>
      <c r="R25" s="16" t="n">
        <v>1</v>
      </c>
      <c r="S25" s="14"/>
      <c r="T25" s="16" t="n">
        <v>1</v>
      </c>
      <c r="U25" s="14"/>
      <c r="V25" s="17" t="n">
        <f aca="false">COUNTIF(B25:U25,1)+COUNTIF(B25:U25,"IC")</f>
        <v>11</v>
      </c>
      <c r="W25" s="14" t="str">
        <f aca="false">IF(COUNTIF(B25:U25,"M")&gt;0,"N/A absence longue",IF(V25&gt;=2,"Atteint","Sous objectif"))</f>
        <v>Atteint</v>
      </c>
    </row>
    <row r="26" customFormat="false" ht="18" hidden="false" customHeight="true" outlineLevel="0" collapsed="false">
      <c r="A26" s="13" t="s">
        <v>88</v>
      </c>
      <c r="B26" s="14"/>
      <c r="C26" s="14"/>
      <c r="D26" s="14"/>
      <c r="E26" s="14"/>
      <c r="F26" s="14"/>
      <c r="G26" s="15"/>
      <c r="H26" s="14"/>
      <c r="I26" s="14"/>
      <c r="J26" s="14"/>
      <c r="K26" s="14"/>
      <c r="L26" s="15"/>
      <c r="M26" s="14"/>
      <c r="N26" s="14"/>
      <c r="O26" s="16" t="n">
        <v>1</v>
      </c>
      <c r="P26" s="14"/>
      <c r="Q26" s="15"/>
      <c r="R26" s="14"/>
      <c r="S26" s="14"/>
      <c r="T26" s="14"/>
      <c r="U26" s="14"/>
      <c r="V26" s="17" t="n">
        <f aca="false">COUNTIF(B26:U26,1)+COUNTIF(B26:U26,"IC")</f>
        <v>1</v>
      </c>
      <c r="W26" s="14" t="str">
        <f aca="false">IF(COUNTIF(B26:U26,"M")&gt;0,"N/A absence longue",IF(V26&gt;=2,"Atteint","Sous objectif"))</f>
        <v>Sous objectif</v>
      </c>
    </row>
    <row r="27" customFormat="false" ht="18" hidden="false" customHeight="true" outlineLevel="0" collapsed="false">
      <c r="A27" s="13" t="s">
        <v>85</v>
      </c>
      <c r="B27" s="14"/>
      <c r="C27" s="16" t="n">
        <v>1</v>
      </c>
      <c r="D27" s="14"/>
      <c r="E27" s="14"/>
      <c r="F27" s="14"/>
      <c r="G27" s="15"/>
      <c r="H27" s="16" t="n">
        <v>1</v>
      </c>
      <c r="I27" s="14"/>
      <c r="J27" s="14"/>
      <c r="K27" s="14"/>
      <c r="L27" s="15"/>
      <c r="M27" s="16" t="n">
        <v>1</v>
      </c>
      <c r="N27" s="14"/>
      <c r="O27" s="16" t="n">
        <v>1</v>
      </c>
      <c r="P27" s="14"/>
      <c r="Q27" s="15"/>
      <c r="R27" s="16" t="n">
        <v>1</v>
      </c>
      <c r="S27" s="14"/>
      <c r="T27" s="14"/>
      <c r="U27" s="14"/>
      <c r="V27" s="17" t="n">
        <f aca="false">COUNTIF(B27:U27,1)+COUNTIF(B27:U27,"IC")</f>
        <v>5</v>
      </c>
      <c r="W27" s="14" t="str">
        <f aca="false">IF(COUNTIF(B27:U27,"M")&gt;0,"N/A absence longue",IF(V27&gt;=2,"Atteint","Sous objectif"))</f>
        <v>Atteint</v>
      </c>
    </row>
    <row r="28" customFormat="false" ht="18" hidden="false" customHeight="true" outlineLevel="0" collapsed="false">
      <c r="A28" s="13" t="s">
        <v>68</v>
      </c>
      <c r="B28" s="14"/>
      <c r="C28" s="16" t="n">
        <v>1</v>
      </c>
      <c r="D28" s="14"/>
      <c r="E28" s="14"/>
      <c r="F28" s="14"/>
      <c r="G28" s="15"/>
      <c r="H28" s="16" t="n">
        <v>1</v>
      </c>
      <c r="I28" s="14"/>
      <c r="J28" s="14"/>
      <c r="K28" s="14"/>
      <c r="L28" s="15"/>
      <c r="M28" s="14"/>
      <c r="N28" s="14"/>
      <c r="O28" s="16" t="n">
        <v>1</v>
      </c>
      <c r="P28" s="14"/>
      <c r="Q28" s="15"/>
      <c r="R28" s="16" t="n">
        <v>1</v>
      </c>
      <c r="S28" s="14"/>
      <c r="T28" s="14"/>
      <c r="U28" s="14"/>
      <c r="V28" s="17" t="n">
        <f aca="false">COUNTIF(B28:U28,1)+COUNTIF(B28:U28,"IC")</f>
        <v>4</v>
      </c>
      <c r="W28" s="14" t="str">
        <f aca="false">IF(COUNTIF(B28:U28,"M")&gt;0,"N/A absence longue",IF(V28&gt;=2,"Atteint","Sous objectif"))</f>
        <v>Atteint</v>
      </c>
    </row>
    <row r="30" customFormat="false" ht="15.75" hidden="false" customHeight="true" outlineLevel="0" collapsed="false">
      <c r="A30" s="23" t="s">
        <v>112</v>
      </c>
    </row>
    <row r="31" customFormat="false" ht="15.75" hidden="false" customHeight="true" outlineLevel="0" collapsed="false">
      <c r="A31" s="24" t="s">
        <v>106</v>
      </c>
      <c r="B31" s="14"/>
      <c r="C31" s="14"/>
      <c r="D31" s="14"/>
      <c r="E31" s="14"/>
      <c r="F31" s="14"/>
      <c r="G31" s="15"/>
      <c r="H31" s="14"/>
      <c r="I31" s="14"/>
      <c r="J31" s="14"/>
      <c r="K31" s="14"/>
      <c r="L31" s="15"/>
      <c r="M31" s="14"/>
      <c r="N31" s="14"/>
      <c r="O31" s="14"/>
      <c r="P31" s="14"/>
      <c r="Q31" s="15"/>
      <c r="R31" s="14"/>
      <c r="S31" s="14"/>
      <c r="T31" s="14"/>
      <c r="U31" s="14"/>
    </row>
    <row r="32" customFormat="false" ht="15.75" hidden="false" customHeight="true" outlineLevel="0" collapsed="false">
      <c r="A32" s="24" t="s">
        <v>104</v>
      </c>
      <c r="B32" s="14"/>
      <c r="C32" s="14"/>
      <c r="D32" s="14"/>
      <c r="E32" s="14"/>
      <c r="F32" s="14"/>
      <c r="G32" s="15"/>
      <c r="H32" s="14"/>
      <c r="I32" s="14"/>
      <c r="J32" s="14"/>
      <c r="K32" s="14"/>
      <c r="L32" s="15"/>
      <c r="M32" s="14"/>
      <c r="N32" s="14"/>
      <c r="O32" s="25" t="s">
        <v>18</v>
      </c>
      <c r="P32" s="14"/>
      <c r="Q32" s="15"/>
      <c r="R32" s="14"/>
      <c r="S32" s="14"/>
      <c r="T32" s="14"/>
      <c r="U32" s="14"/>
    </row>
    <row r="33" customFormat="false" ht="15.75" hidden="false" customHeight="true" outlineLevel="0" collapsed="false">
      <c r="A33" s="24" t="s">
        <v>113</v>
      </c>
      <c r="B33" s="14"/>
      <c r="C33" s="14"/>
      <c r="D33" s="14"/>
      <c r="E33" s="14"/>
      <c r="F33" s="14"/>
      <c r="G33" s="15"/>
      <c r="H33" s="14"/>
      <c r="I33" s="14"/>
      <c r="J33" s="14"/>
      <c r="K33" s="14"/>
      <c r="L33" s="15"/>
      <c r="M33" s="14"/>
      <c r="N33" s="14"/>
      <c r="O33" s="14"/>
      <c r="P33" s="14"/>
      <c r="Q33" s="15"/>
      <c r="R33" s="14"/>
      <c r="S33" s="14"/>
      <c r="T33" s="14"/>
      <c r="U33" s="14"/>
    </row>
  </sheetData>
  <mergeCells count="1">
    <mergeCell ref="A1:W1"/>
  </mergeCells>
  <conditionalFormatting sqref="B4:U28">
    <cfRule type="cellIs" priority="2" operator="equal" aboveAverage="0" equalAverage="0" bottom="0" percent="0" rank="0" text="" dxfId="0">
      <formula>1</formula>
    </cfRule>
    <cfRule type="cellIs" priority="3" operator="equal" aboveAverage="0" equalAverage="0" bottom="0" percent="0" rank="0" text="" dxfId="1">
      <formula>"IC"</formula>
    </cfRule>
    <cfRule type="cellIs" priority="4" operator="equal" aboveAverage="0" equalAverage="0" bottom="0" percent="0" rank="0" text="" dxfId="2">
      <formula>"M"</formula>
    </cfRule>
  </conditionalFormatting>
  <conditionalFormatting sqref="B31:U33">
    <cfRule type="cellIs" priority="5" operator="equal" aboveAverage="0" equalAverage="0" bottom="0" percent="0" rank="0" text="" dxfId="3">
      <formula>"X"</formula>
    </cfRule>
  </conditionalFormatting>
  <dataValidations count="2">
    <dataValidation allowBlank="true" error="Valeurs autorisées : X ou vide." errorStyle="stop" errorTitle="Valeur invalide" operator="between" showDropDown="false" showErrorMessage="true" showInputMessage="false" sqref="B31:U33" type="list">
      <formula1>"X"</formula1>
      <formula2>0</formula2>
    </dataValidation>
    <dataValidation allowBlank="true" error="Valeurs autorisées : 1, IC, M ou vide." errorStyle="stop" errorTitle="Valeur invalide" operator="between" showDropDown="false" showErrorMessage="true" showInputMessage="false" sqref="B4:U28" type="list">
      <formula1>"1,IC,M"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4" min="2" style="0" width="8"/>
    <col collapsed="false" customWidth="true" hidden="false" outlineLevel="0" max="25" min="25" style="0" width="18"/>
  </cols>
  <sheetData>
    <row r="1" customFormat="false" ht="21.75" hidden="false" customHeight="true" outlineLevel="0" collapsed="false">
      <c r="A1" s="7" t="s">
        <v>114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3" customFormat="false" ht="21.75" hidden="false" customHeight="true" outlineLevel="0" collapsed="false">
      <c r="A3" s="8" t="s">
        <v>64</v>
      </c>
      <c r="B3" s="9" t="n">
        <v>46083</v>
      </c>
      <c r="C3" s="9" t="n">
        <v>46084</v>
      </c>
      <c r="D3" s="9" t="n">
        <v>46085</v>
      </c>
      <c r="E3" s="9" t="n">
        <v>46086</v>
      </c>
      <c r="F3" s="9" t="n">
        <v>46087</v>
      </c>
      <c r="G3" s="10" t="n">
        <v>46090</v>
      </c>
      <c r="H3" s="9" t="n">
        <v>46091</v>
      </c>
      <c r="I3" s="9" t="n">
        <v>46092</v>
      </c>
      <c r="J3" s="9" t="n">
        <v>46093</v>
      </c>
      <c r="K3" s="9" t="n">
        <v>46094</v>
      </c>
      <c r="L3" s="10" t="n">
        <v>46097</v>
      </c>
      <c r="M3" s="9" t="n">
        <v>46098</v>
      </c>
      <c r="N3" s="9" t="n">
        <v>46099</v>
      </c>
      <c r="O3" s="9" t="n">
        <v>46100</v>
      </c>
      <c r="P3" s="9" t="n">
        <v>46101</v>
      </c>
      <c r="Q3" s="10" t="n">
        <v>46104</v>
      </c>
      <c r="R3" s="9" t="n">
        <v>46105</v>
      </c>
      <c r="S3" s="9" t="n">
        <v>46106</v>
      </c>
      <c r="T3" s="9" t="n">
        <v>46107</v>
      </c>
      <c r="U3" s="9" t="n">
        <v>46108</v>
      </c>
      <c r="V3" s="10" t="n">
        <v>46111</v>
      </c>
      <c r="W3" s="9" t="n">
        <v>46112</v>
      </c>
      <c r="X3" s="11" t="s">
        <v>110</v>
      </c>
      <c r="Y3" s="12" t="s">
        <v>111</v>
      </c>
    </row>
    <row r="4" customFormat="false" ht="18" hidden="false" customHeight="true" outlineLevel="0" collapsed="false">
      <c r="A4" s="13" t="s">
        <v>77</v>
      </c>
      <c r="B4" s="14"/>
      <c r="C4" s="14"/>
      <c r="D4" s="14"/>
      <c r="E4" s="14"/>
      <c r="F4" s="14"/>
      <c r="G4" s="15"/>
      <c r="H4" s="14"/>
      <c r="I4" s="16" t="n">
        <v>1</v>
      </c>
      <c r="J4" s="14"/>
      <c r="K4" s="14"/>
      <c r="L4" s="15"/>
      <c r="M4" s="16" t="n">
        <v>1</v>
      </c>
      <c r="N4" s="14"/>
      <c r="O4" s="14"/>
      <c r="P4" s="14"/>
      <c r="Q4" s="15"/>
      <c r="R4" s="14"/>
      <c r="S4" s="14"/>
      <c r="T4" s="16" t="n">
        <v>1</v>
      </c>
      <c r="U4" s="14"/>
      <c r="V4" s="15"/>
      <c r="W4" s="14"/>
      <c r="X4" s="17" t="n">
        <f aca="false">COUNTIF(B4:W4,1)+COUNTIF(B4:W4,"IC")</f>
        <v>3</v>
      </c>
      <c r="Y4" s="14" t="str">
        <f aca="false">IF(COUNTIF(B4:W4,"M")&gt;0,"N/A absence longue",IF(X4&gt;=2,"Atteint","Sous objectif"))</f>
        <v>Atteint</v>
      </c>
    </row>
    <row r="5" customFormat="false" ht="18" hidden="false" customHeight="true" outlineLevel="0" collapsed="false">
      <c r="A5" s="13" t="s">
        <v>92</v>
      </c>
      <c r="B5" s="18" t="s">
        <v>15</v>
      </c>
      <c r="C5" s="18" t="s">
        <v>15</v>
      </c>
      <c r="D5" s="18" t="s">
        <v>15</v>
      </c>
      <c r="E5" s="18" t="s">
        <v>15</v>
      </c>
      <c r="F5" s="18" t="s">
        <v>15</v>
      </c>
      <c r="G5" s="19" t="s">
        <v>15</v>
      </c>
      <c r="H5" s="18" t="s">
        <v>15</v>
      </c>
      <c r="I5" s="18" t="s">
        <v>15</v>
      </c>
      <c r="J5" s="18" t="s">
        <v>15</v>
      </c>
      <c r="K5" s="18" t="s">
        <v>15</v>
      </c>
      <c r="L5" s="19" t="s">
        <v>15</v>
      </c>
      <c r="M5" s="18" t="s">
        <v>15</v>
      </c>
      <c r="N5" s="18" t="s">
        <v>15</v>
      </c>
      <c r="O5" s="18" t="s">
        <v>15</v>
      </c>
      <c r="P5" s="18" t="s">
        <v>15</v>
      </c>
      <c r="Q5" s="19" t="s">
        <v>15</v>
      </c>
      <c r="R5" s="18" t="s">
        <v>15</v>
      </c>
      <c r="S5" s="18" t="s">
        <v>15</v>
      </c>
      <c r="T5" s="18" t="s">
        <v>15</v>
      </c>
      <c r="U5" s="18" t="s">
        <v>15</v>
      </c>
      <c r="V5" s="19" t="s">
        <v>15</v>
      </c>
      <c r="W5" s="18" t="s">
        <v>15</v>
      </c>
      <c r="X5" s="17" t="n">
        <f aca="false">COUNTIF(B5:W5,1)+COUNTIF(B5:W5,"IC")</f>
        <v>0</v>
      </c>
      <c r="Y5" s="14" t="str">
        <f aca="false">IF(COUNTIF(B5:W5,"M")&gt;0,"N/A absence longue",IF(X5&gt;=2,"Atteint","Sous objectif"))</f>
        <v>N/A absence longue</v>
      </c>
    </row>
    <row r="6" customFormat="false" ht="18" hidden="false" customHeight="true" outlineLevel="0" collapsed="false">
      <c r="A6" s="13" t="s">
        <v>74</v>
      </c>
      <c r="B6" s="14"/>
      <c r="C6" s="14"/>
      <c r="D6" s="14"/>
      <c r="E6" s="14"/>
      <c r="F6" s="14"/>
      <c r="G6" s="15"/>
      <c r="H6" s="14"/>
      <c r="I6" s="14"/>
      <c r="J6" s="14"/>
      <c r="K6" s="14"/>
      <c r="L6" s="15"/>
      <c r="M6" s="14"/>
      <c r="N6" s="14"/>
      <c r="O6" s="14"/>
      <c r="P6" s="14"/>
      <c r="Q6" s="15"/>
      <c r="R6" s="14"/>
      <c r="S6" s="14"/>
      <c r="T6" s="14"/>
      <c r="U6" s="14"/>
      <c r="V6" s="15"/>
      <c r="W6" s="14"/>
      <c r="X6" s="17" t="n">
        <f aca="false">COUNTIF(B6:W6,1)+COUNTIF(B6:W6,"IC")</f>
        <v>0</v>
      </c>
      <c r="Y6" s="14" t="str">
        <f aca="false">IF(COUNTIF(B6:W6,"M")&gt;0,"N/A absence longue",IF(X6&gt;=2,"Atteint","Sous objectif"))</f>
        <v>Sous objectif</v>
      </c>
    </row>
    <row r="7" customFormat="false" ht="18" hidden="false" customHeight="true" outlineLevel="0" collapsed="false">
      <c r="A7" s="13" t="s">
        <v>84</v>
      </c>
      <c r="B7" s="14"/>
      <c r="C7" s="16" t="n">
        <v>1</v>
      </c>
      <c r="D7" s="14"/>
      <c r="E7" s="14"/>
      <c r="F7" s="14"/>
      <c r="G7" s="15"/>
      <c r="H7" s="14"/>
      <c r="I7" s="14"/>
      <c r="J7" s="14"/>
      <c r="K7" s="14"/>
      <c r="L7" s="15"/>
      <c r="M7" s="16" t="n">
        <v>1</v>
      </c>
      <c r="N7" s="14"/>
      <c r="O7" s="16" t="n">
        <v>1</v>
      </c>
      <c r="P7" s="14"/>
      <c r="Q7" s="15"/>
      <c r="R7" s="16" t="n">
        <v>1</v>
      </c>
      <c r="S7" s="14"/>
      <c r="T7" s="16" t="n">
        <v>1</v>
      </c>
      <c r="U7" s="14"/>
      <c r="V7" s="15"/>
      <c r="W7" s="16" t="n">
        <v>1</v>
      </c>
      <c r="X7" s="17" t="n">
        <f aca="false">COUNTIF(B7:W7,1)+COUNTIF(B7:W7,"IC")</f>
        <v>6</v>
      </c>
      <c r="Y7" s="14" t="str">
        <f aca="false">IF(COUNTIF(B7:W7,"M")&gt;0,"N/A absence longue",IF(X7&gt;=2,"Atteint","Sous objectif"))</f>
        <v>Atteint</v>
      </c>
    </row>
    <row r="8" customFormat="false" ht="18" hidden="false" customHeight="true" outlineLevel="0" collapsed="false">
      <c r="A8" s="13" t="s">
        <v>83</v>
      </c>
      <c r="B8" s="20" t="s">
        <v>9</v>
      </c>
      <c r="C8" s="20" t="s">
        <v>9</v>
      </c>
      <c r="D8" s="14"/>
      <c r="E8" s="20" t="s">
        <v>9</v>
      </c>
      <c r="F8" s="14"/>
      <c r="G8" s="21" t="s">
        <v>9</v>
      </c>
      <c r="H8" s="14"/>
      <c r="I8" s="20" t="s">
        <v>9</v>
      </c>
      <c r="J8" s="20" t="s">
        <v>9</v>
      </c>
      <c r="K8" s="14"/>
      <c r="L8" s="15"/>
      <c r="M8" s="20" t="s">
        <v>9</v>
      </c>
      <c r="N8" s="14"/>
      <c r="O8" s="20" t="s">
        <v>9</v>
      </c>
      <c r="P8" s="14"/>
      <c r="Q8" s="15"/>
      <c r="R8" s="20" t="s">
        <v>9</v>
      </c>
      <c r="S8" s="14"/>
      <c r="T8" s="20" t="s">
        <v>9</v>
      </c>
      <c r="U8" s="14"/>
      <c r="V8" s="21" t="s">
        <v>9</v>
      </c>
      <c r="W8" s="20" t="s">
        <v>9</v>
      </c>
      <c r="X8" s="17" t="n">
        <f aca="false">COUNTIF(B8:W8,1)+COUNTIF(B8:W8,"IC")</f>
        <v>12</v>
      </c>
      <c r="Y8" s="14" t="str">
        <f aca="false">IF(COUNTIF(B8:W8,"M")&gt;0,"N/A absence longue",IF(X8&gt;=2,"Atteint","Sous objectif"))</f>
        <v>Atteint</v>
      </c>
    </row>
    <row r="9" customFormat="false" ht="18" hidden="false" customHeight="true" outlineLevel="0" collapsed="false">
      <c r="A9" s="13" t="s">
        <v>71</v>
      </c>
      <c r="B9" s="14"/>
      <c r="C9" s="14"/>
      <c r="D9" s="14"/>
      <c r="E9" s="14"/>
      <c r="F9" s="14"/>
      <c r="G9" s="15"/>
      <c r="H9" s="14"/>
      <c r="I9" s="16" t="n">
        <v>1</v>
      </c>
      <c r="J9" s="14"/>
      <c r="K9" s="14"/>
      <c r="L9" s="15"/>
      <c r="M9" s="14"/>
      <c r="N9" s="14"/>
      <c r="O9" s="14"/>
      <c r="P9" s="14"/>
      <c r="Q9" s="15"/>
      <c r="R9" s="14"/>
      <c r="S9" s="14"/>
      <c r="T9" s="14"/>
      <c r="U9" s="14"/>
      <c r="V9" s="15"/>
      <c r="W9" s="14"/>
      <c r="X9" s="17" t="n">
        <f aca="false">COUNTIF(B9:W9,1)+COUNTIF(B9:W9,"IC")</f>
        <v>1</v>
      </c>
      <c r="Y9" s="14" t="str">
        <f aca="false">IF(COUNTIF(B9:W9,"M")&gt;0,"N/A absence longue",IF(X9&gt;=2,"Atteint","Sous objectif"))</f>
        <v>Sous objectif</v>
      </c>
    </row>
    <row r="10" customFormat="false" ht="18" hidden="false" customHeight="true" outlineLevel="0" collapsed="false">
      <c r="A10" s="13" t="s">
        <v>86</v>
      </c>
      <c r="B10" s="14"/>
      <c r="C10" s="16" t="n">
        <v>1</v>
      </c>
      <c r="D10" s="14"/>
      <c r="E10" s="16" t="n">
        <v>1</v>
      </c>
      <c r="F10" s="14"/>
      <c r="G10" s="15"/>
      <c r="H10" s="14"/>
      <c r="I10" s="14"/>
      <c r="J10" s="16" t="n">
        <v>1</v>
      </c>
      <c r="K10" s="14"/>
      <c r="L10" s="22" t="n">
        <v>1</v>
      </c>
      <c r="M10" s="14"/>
      <c r="N10" s="14"/>
      <c r="O10" s="16" t="n">
        <v>1</v>
      </c>
      <c r="P10" s="14"/>
      <c r="Q10" s="15"/>
      <c r="R10" s="14"/>
      <c r="S10" s="14"/>
      <c r="T10" s="16" t="n">
        <v>1</v>
      </c>
      <c r="U10" s="14"/>
      <c r="V10" s="15"/>
      <c r="W10" s="16" t="n">
        <v>1</v>
      </c>
      <c r="X10" s="17" t="n">
        <f aca="false">COUNTIF(B10:W10,1)+COUNTIF(B10:W10,"IC")</f>
        <v>7</v>
      </c>
      <c r="Y10" s="14" t="str">
        <f aca="false">IF(COUNTIF(B10:W10,"M")&gt;0,"N/A absence longue",IF(X10&gt;=2,"Atteint","Sous objectif"))</f>
        <v>Atteint</v>
      </c>
    </row>
    <row r="11" customFormat="false" ht="18" hidden="false" customHeight="true" outlineLevel="0" collapsed="false">
      <c r="A11" s="13" t="s">
        <v>82</v>
      </c>
      <c r="B11" s="14"/>
      <c r="C11" s="14"/>
      <c r="D11" s="14"/>
      <c r="E11" s="16" t="n">
        <v>1</v>
      </c>
      <c r="F11" s="14"/>
      <c r="G11" s="15"/>
      <c r="H11" s="14"/>
      <c r="I11" s="14"/>
      <c r="J11" s="14"/>
      <c r="K11" s="14"/>
      <c r="L11" s="15"/>
      <c r="M11" s="14"/>
      <c r="N11" s="14"/>
      <c r="O11" s="16" t="n">
        <v>1</v>
      </c>
      <c r="P11" s="14"/>
      <c r="Q11" s="15"/>
      <c r="R11" s="14"/>
      <c r="S11" s="14"/>
      <c r="T11" s="14"/>
      <c r="U11" s="14"/>
      <c r="V11" s="15"/>
      <c r="W11" s="14"/>
      <c r="X11" s="17" t="n">
        <f aca="false">COUNTIF(B11:W11,1)+COUNTIF(B11:W11,"IC")</f>
        <v>2</v>
      </c>
      <c r="Y11" s="14" t="str">
        <f aca="false">IF(COUNTIF(B11:W11,"M")&gt;0,"N/A absence longue",IF(X11&gt;=2,"Atteint","Sous objectif"))</f>
        <v>Atteint</v>
      </c>
    </row>
    <row r="12" customFormat="false" ht="18" hidden="false" customHeight="true" outlineLevel="0" collapsed="false">
      <c r="A12" s="13" t="s">
        <v>70</v>
      </c>
      <c r="B12" s="14"/>
      <c r="C12" s="14"/>
      <c r="D12" s="14"/>
      <c r="E12" s="14"/>
      <c r="F12" s="14"/>
      <c r="G12" s="15"/>
      <c r="H12" s="14"/>
      <c r="I12" s="14"/>
      <c r="J12" s="14"/>
      <c r="K12" s="14"/>
      <c r="L12" s="15"/>
      <c r="M12" s="14"/>
      <c r="N12" s="14"/>
      <c r="O12" s="14"/>
      <c r="P12" s="14"/>
      <c r="Q12" s="15"/>
      <c r="R12" s="14"/>
      <c r="S12" s="14"/>
      <c r="T12" s="16" t="n">
        <v>1</v>
      </c>
      <c r="U12" s="14"/>
      <c r="V12" s="15"/>
      <c r="W12" s="14"/>
      <c r="X12" s="17" t="n">
        <f aca="false">COUNTIF(B12:W12,1)+COUNTIF(B12:W12,"IC")</f>
        <v>1</v>
      </c>
      <c r="Y12" s="14" t="str">
        <f aca="false">IF(COUNTIF(B12:W12,"M")&gt;0,"N/A absence longue",IF(X12&gt;=2,"Atteint","Sous objectif"))</f>
        <v>Sous objectif</v>
      </c>
    </row>
    <row r="13" customFormat="false" ht="18" hidden="false" customHeight="true" outlineLevel="0" collapsed="false">
      <c r="A13" s="13" t="s">
        <v>67</v>
      </c>
      <c r="B13" s="14"/>
      <c r="C13" s="14"/>
      <c r="D13" s="14"/>
      <c r="E13" s="14"/>
      <c r="F13" s="14"/>
      <c r="G13" s="15"/>
      <c r="H13" s="14"/>
      <c r="I13" s="16" t="n">
        <v>1</v>
      </c>
      <c r="J13" s="14"/>
      <c r="K13" s="14"/>
      <c r="L13" s="22" t="n">
        <v>1</v>
      </c>
      <c r="M13" s="14"/>
      <c r="N13" s="14"/>
      <c r="O13" s="14"/>
      <c r="P13" s="14"/>
      <c r="Q13" s="15"/>
      <c r="R13" s="14"/>
      <c r="S13" s="14"/>
      <c r="T13" s="14"/>
      <c r="U13" s="14"/>
      <c r="V13" s="15"/>
      <c r="W13" s="14"/>
      <c r="X13" s="17" t="n">
        <f aca="false">COUNTIF(B13:W13,1)+COUNTIF(B13:W13,"IC")</f>
        <v>2</v>
      </c>
      <c r="Y13" s="14" t="str">
        <f aca="false">IF(COUNTIF(B13:W13,"M")&gt;0,"N/A absence longue",IF(X13&gt;=2,"Atteint","Sous objectif"))</f>
        <v>Atteint</v>
      </c>
    </row>
    <row r="14" customFormat="false" ht="18" hidden="false" customHeight="true" outlineLevel="0" collapsed="false">
      <c r="A14" s="13" t="s">
        <v>90</v>
      </c>
      <c r="B14" s="14"/>
      <c r="C14" s="14"/>
      <c r="D14" s="14"/>
      <c r="E14" s="14"/>
      <c r="F14" s="14"/>
      <c r="G14" s="15"/>
      <c r="H14" s="14"/>
      <c r="I14" s="16" t="n">
        <v>1</v>
      </c>
      <c r="J14" s="14"/>
      <c r="K14" s="14"/>
      <c r="L14" s="15"/>
      <c r="M14" s="16" t="n">
        <v>1</v>
      </c>
      <c r="N14" s="14"/>
      <c r="O14" s="14"/>
      <c r="P14" s="14"/>
      <c r="Q14" s="15"/>
      <c r="R14" s="14"/>
      <c r="S14" s="14"/>
      <c r="T14" s="14"/>
      <c r="U14" s="14"/>
      <c r="V14" s="15"/>
      <c r="W14" s="14"/>
      <c r="X14" s="17" t="n">
        <f aca="false">COUNTIF(B14:W14,1)+COUNTIF(B14:W14,"IC")</f>
        <v>2</v>
      </c>
      <c r="Y14" s="14" t="str">
        <f aca="false">IF(COUNTIF(B14:W14,"M")&gt;0,"N/A absence longue",IF(X14&gt;=2,"Atteint","Sous objectif"))</f>
        <v>Atteint</v>
      </c>
    </row>
    <row r="15" customFormat="false" ht="18" hidden="false" customHeight="true" outlineLevel="0" collapsed="false">
      <c r="A15" s="13" t="s">
        <v>78</v>
      </c>
      <c r="B15" s="14"/>
      <c r="C15" s="14"/>
      <c r="D15" s="14"/>
      <c r="E15" s="14"/>
      <c r="F15" s="16" t="n">
        <v>1</v>
      </c>
      <c r="G15" s="15"/>
      <c r="H15" s="14"/>
      <c r="I15" s="16" t="n">
        <v>1</v>
      </c>
      <c r="J15" s="14"/>
      <c r="K15" s="14"/>
      <c r="L15" s="22" t="n">
        <v>1</v>
      </c>
      <c r="M15" s="14"/>
      <c r="N15" s="14"/>
      <c r="O15" s="16" t="n">
        <v>1</v>
      </c>
      <c r="P15" s="14"/>
      <c r="Q15" s="15"/>
      <c r="R15" s="14"/>
      <c r="S15" s="14"/>
      <c r="T15" s="16" t="n">
        <v>1</v>
      </c>
      <c r="U15" s="14"/>
      <c r="V15" s="15"/>
      <c r="W15" s="14"/>
      <c r="X15" s="17" t="n">
        <f aca="false">COUNTIF(B15:W15,1)+COUNTIF(B15:W15,"IC")</f>
        <v>5</v>
      </c>
      <c r="Y15" s="14" t="str">
        <f aca="false">IF(COUNTIF(B15:W15,"M")&gt;0,"N/A absence longue",IF(X15&gt;=2,"Atteint","Sous objectif"))</f>
        <v>Atteint</v>
      </c>
    </row>
    <row r="16" customFormat="false" ht="18" hidden="false" customHeight="true" outlineLevel="0" collapsed="false">
      <c r="A16" s="13" t="s">
        <v>91</v>
      </c>
      <c r="B16" s="14"/>
      <c r="C16" s="14"/>
      <c r="D16" s="14"/>
      <c r="E16" s="14"/>
      <c r="F16" s="14"/>
      <c r="G16" s="15"/>
      <c r="H16" s="16" t="n">
        <v>1</v>
      </c>
      <c r="I16" s="16" t="n">
        <v>1</v>
      </c>
      <c r="J16" s="14"/>
      <c r="K16" s="14"/>
      <c r="L16" s="22" t="n">
        <v>1</v>
      </c>
      <c r="M16" s="14"/>
      <c r="N16" s="14"/>
      <c r="O16" s="14"/>
      <c r="P16" s="14"/>
      <c r="Q16" s="15"/>
      <c r="R16" s="14"/>
      <c r="S16" s="14"/>
      <c r="T16" s="16" t="n">
        <v>1</v>
      </c>
      <c r="U16" s="14"/>
      <c r="V16" s="15"/>
      <c r="W16" s="14"/>
      <c r="X16" s="17" t="n">
        <f aca="false">COUNTIF(B16:W16,1)+COUNTIF(B16:W16,"IC")</f>
        <v>4</v>
      </c>
      <c r="Y16" s="14" t="str">
        <f aca="false">IF(COUNTIF(B16:W16,"M")&gt;0,"N/A absence longue",IF(X16&gt;=2,"Atteint","Sous objectif"))</f>
        <v>Atteint</v>
      </c>
    </row>
    <row r="17" customFormat="false" ht="18" hidden="false" customHeight="true" outlineLevel="0" collapsed="false">
      <c r="A17" s="13" t="s">
        <v>75</v>
      </c>
      <c r="B17" s="14"/>
      <c r="C17" s="14"/>
      <c r="D17" s="14"/>
      <c r="E17" s="14"/>
      <c r="F17" s="14"/>
      <c r="G17" s="15"/>
      <c r="H17" s="14"/>
      <c r="I17" s="14"/>
      <c r="J17" s="14"/>
      <c r="K17" s="14"/>
      <c r="L17" s="15"/>
      <c r="M17" s="14"/>
      <c r="N17" s="14"/>
      <c r="O17" s="14"/>
      <c r="P17" s="14"/>
      <c r="Q17" s="15"/>
      <c r="R17" s="14"/>
      <c r="S17" s="14"/>
      <c r="T17" s="16" t="n">
        <v>1</v>
      </c>
      <c r="U17" s="14"/>
      <c r="V17" s="15"/>
      <c r="W17" s="14"/>
      <c r="X17" s="17" t="n">
        <f aca="false">COUNTIF(B17:W17,1)+COUNTIF(B17:W17,"IC")</f>
        <v>1</v>
      </c>
      <c r="Y17" s="14" t="str">
        <f aca="false">IF(COUNTIF(B17:W17,"M")&gt;0,"N/A absence longue",IF(X17&gt;=2,"Atteint","Sous objectif"))</f>
        <v>Sous objectif</v>
      </c>
    </row>
    <row r="18" customFormat="false" ht="18" hidden="false" customHeight="true" outlineLevel="0" collapsed="false">
      <c r="A18" s="13" t="s">
        <v>81</v>
      </c>
      <c r="B18" s="14"/>
      <c r="C18" s="14"/>
      <c r="D18" s="14"/>
      <c r="E18" s="14"/>
      <c r="F18" s="14"/>
      <c r="G18" s="15"/>
      <c r="H18" s="14"/>
      <c r="I18" s="14"/>
      <c r="J18" s="14"/>
      <c r="K18" s="14"/>
      <c r="L18" s="15"/>
      <c r="M18" s="14"/>
      <c r="N18" s="14"/>
      <c r="O18" s="14"/>
      <c r="P18" s="14"/>
      <c r="Q18" s="15"/>
      <c r="R18" s="14"/>
      <c r="S18" s="14"/>
      <c r="T18" s="16" t="n">
        <v>1</v>
      </c>
      <c r="U18" s="14"/>
      <c r="V18" s="15"/>
      <c r="W18" s="14"/>
      <c r="X18" s="17" t="n">
        <f aca="false">COUNTIF(B18:W18,1)+COUNTIF(B18:W18,"IC")</f>
        <v>1</v>
      </c>
      <c r="Y18" s="14" t="str">
        <f aca="false">IF(COUNTIF(B18:W18,"M")&gt;0,"N/A absence longue",IF(X18&gt;=2,"Atteint","Sous objectif"))</f>
        <v>Sous objectif</v>
      </c>
    </row>
    <row r="19" customFormat="false" ht="18" hidden="false" customHeight="true" outlineLevel="0" collapsed="false">
      <c r="A19" s="13" t="s">
        <v>89</v>
      </c>
      <c r="B19" s="14"/>
      <c r="C19" s="14"/>
      <c r="D19" s="14"/>
      <c r="E19" s="14"/>
      <c r="F19" s="14"/>
      <c r="G19" s="15"/>
      <c r="H19" s="14"/>
      <c r="I19" s="14"/>
      <c r="J19" s="14"/>
      <c r="K19" s="14"/>
      <c r="L19" s="15"/>
      <c r="M19" s="14"/>
      <c r="N19" s="14"/>
      <c r="O19" s="14"/>
      <c r="P19" s="14"/>
      <c r="Q19" s="15"/>
      <c r="R19" s="14"/>
      <c r="S19" s="14"/>
      <c r="T19" s="16" t="n">
        <v>1</v>
      </c>
      <c r="U19" s="14"/>
      <c r="V19" s="15"/>
      <c r="W19" s="14"/>
      <c r="X19" s="17" t="n">
        <f aca="false">COUNTIF(B19:W19,1)+COUNTIF(B19:W19,"IC")</f>
        <v>1</v>
      </c>
      <c r="Y19" s="14" t="str">
        <f aca="false">IF(COUNTIF(B19:W19,"M")&gt;0,"N/A absence longue",IF(X19&gt;=2,"Atteint","Sous objectif"))</f>
        <v>Sous objectif</v>
      </c>
    </row>
    <row r="20" customFormat="false" ht="18" hidden="false" customHeight="true" outlineLevel="0" collapsed="false">
      <c r="A20" s="13" t="s">
        <v>80</v>
      </c>
      <c r="B20" s="16" t="n">
        <v>1</v>
      </c>
      <c r="C20" s="14"/>
      <c r="D20" s="14"/>
      <c r="E20" s="14"/>
      <c r="F20" s="14"/>
      <c r="G20" s="22" t="n">
        <v>1</v>
      </c>
      <c r="H20" s="14"/>
      <c r="I20" s="14"/>
      <c r="J20" s="14"/>
      <c r="K20" s="14"/>
      <c r="L20" s="15"/>
      <c r="M20" s="14"/>
      <c r="N20" s="16" t="n">
        <v>1</v>
      </c>
      <c r="O20" s="14"/>
      <c r="P20" s="14"/>
      <c r="Q20" s="15"/>
      <c r="R20" s="14"/>
      <c r="S20" s="14"/>
      <c r="T20" s="16" t="n">
        <v>1</v>
      </c>
      <c r="U20" s="14"/>
      <c r="V20" s="15"/>
      <c r="W20" s="14"/>
      <c r="X20" s="17" t="n">
        <f aca="false">COUNTIF(B20:W20,1)+COUNTIF(B20:W20,"IC")</f>
        <v>4</v>
      </c>
      <c r="Y20" s="14" t="str">
        <f aca="false">IF(COUNTIF(B20:W20,"M")&gt;0,"N/A absence longue",IF(X20&gt;=2,"Atteint","Sous objectif"))</f>
        <v>Atteint</v>
      </c>
    </row>
    <row r="21" customFormat="false" ht="18" hidden="false" customHeight="true" outlineLevel="0" collapsed="false">
      <c r="A21" s="13" t="s">
        <v>72</v>
      </c>
      <c r="B21" s="14"/>
      <c r="C21" s="14"/>
      <c r="D21" s="14"/>
      <c r="E21" s="14"/>
      <c r="F21" s="16" t="n">
        <v>1</v>
      </c>
      <c r="G21" s="15"/>
      <c r="H21" s="14"/>
      <c r="I21" s="14"/>
      <c r="J21" s="14"/>
      <c r="K21" s="14"/>
      <c r="L21" s="15"/>
      <c r="M21" s="16" t="n">
        <v>1</v>
      </c>
      <c r="N21" s="14"/>
      <c r="O21" s="16" t="n">
        <v>1</v>
      </c>
      <c r="P21" s="14"/>
      <c r="Q21" s="15"/>
      <c r="R21" s="14"/>
      <c r="S21" s="14"/>
      <c r="T21" s="16" t="n">
        <v>1</v>
      </c>
      <c r="U21" s="14"/>
      <c r="V21" s="15"/>
      <c r="W21" s="14"/>
      <c r="X21" s="17" t="n">
        <f aca="false">COUNTIF(B21:W21,1)+COUNTIF(B21:W21,"IC")</f>
        <v>4</v>
      </c>
      <c r="Y21" s="14" t="str">
        <f aca="false">IF(COUNTIF(B21:W21,"M")&gt;0,"N/A absence longue",IF(X21&gt;=2,"Atteint","Sous objectif"))</f>
        <v>Atteint</v>
      </c>
    </row>
    <row r="22" customFormat="false" ht="18" hidden="false" customHeight="true" outlineLevel="0" collapsed="false">
      <c r="A22" s="13" t="s">
        <v>73</v>
      </c>
      <c r="B22" s="14"/>
      <c r="C22" s="14"/>
      <c r="D22" s="14"/>
      <c r="E22" s="14"/>
      <c r="F22" s="14"/>
      <c r="G22" s="15"/>
      <c r="H22" s="14"/>
      <c r="I22" s="14"/>
      <c r="J22" s="14"/>
      <c r="K22" s="14"/>
      <c r="L22" s="15"/>
      <c r="M22" s="16" t="n">
        <v>1</v>
      </c>
      <c r="N22" s="14"/>
      <c r="O22" s="14"/>
      <c r="P22" s="14"/>
      <c r="Q22" s="15"/>
      <c r="R22" s="14"/>
      <c r="S22" s="14"/>
      <c r="T22" s="14"/>
      <c r="U22" s="14"/>
      <c r="V22" s="15"/>
      <c r="W22" s="14"/>
      <c r="X22" s="17" t="n">
        <f aca="false">COUNTIF(B22:W22,1)+COUNTIF(B22:W22,"IC")</f>
        <v>1</v>
      </c>
      <c r="Y22" s="14" t="str">
        <f aca="false">IF(COUNTIF(B22:W22,"M")&gt;0,"N/A absence longue",IF(X22&gt;=2,"Atteint","Sous objectif"))</f>
        <v>Sous objectif</v>
      </c>
    </row>
    <row r="23" customFormat="false" ht="18" hidden="false" customHeight="true" outlineLevel="0" collapsed="false">
      <c r="A23" s="13" t="s">
        <v>69</v>
      </c>
      <c r="B23" s="14"/>
      <c r="C23" s="14"/>
      <c r="D23" s="14"/>
      <c r="E23" s="14"/>
      <c r="F23" s="14"/>
      <c r="G23" s="15"/>
      <c r="H23" s="14"/>
      <c r="I23" s="14"/>
      <c r="J23" s="14"/>
      <c r="K23" s="14"/>
      <c r="L23" s="15"/>
      <c r="M23" s="14"/>
      <c r="N23" s="14"/>
      <c r="O23" s="14"/>
      <c r="P23" s="14"/>
      <c r="Q23" s="15"/>
      <c r="R23" s="14"/>
      <c r="S23" s="14"/>
      <c r="T23" s="16" t="n">
        <v>1</v>
      </c>
      <c r="U23" s="14"/>
      <c r="V23" s="15"/>
      <c r="W23" s="14"/>
      <c r="X23" s="17" t="n">
        <f aca="false">COUNTIF(B23:W23,1)+COUNTIF(B23:W23,"IC")</f>
        <v>1</v>
      </c>
      <c r="Y23" s="14" t="str">
        <f aca="false">IF(COUNTIF(B23:W23,"M")&gt;0,"N/A absence longue",IF(X23&gt;=2,"Atteint","Sous objectif"))</f>
        <v>Sous objectif</v>
      </c>
    </row>
    <row r="24" customFormat="false" ht="18" hidden="false" customHeight="true" outlineLevel="0" collapsed="false">
      <c r="A24" s="13" t="s">
        <v>76</v>
      </c>
      <c r="B24" s="14"/>
      <c r="C24" s="14"/>
      <c r="D24" s="14"/>
      <c r="E24" s="14"/>
      <c r="F24" s="14"/>
      <c r="G24" s="15"/>
      <c r="H24" s="14"/>
      <c r="I24" s="14"/>
      <c r="J24" s="14"/>
      <c r="K24" s="14"/>
      <c r="L24" s="15"/>
      <c r="M24" s="14"/>
      <c r="N24" s="14"/>
      <c r="O24" s="14"/>
      <c r="P24" s="14"/>
      <c r="Q24" s="15"/>
      <c r="R24" s="16" t="n">
        <v>1</v>
      </c>
      <c r="S24" s="14"/>
      <c r="T24" s="16" t="n">
        <v>1</v>
      </c>
      <c r="U24" s="14"/>
      <c r="V24" s="22" t="n">
        <v>1</v>
      </c>
      <c r="W24" s="16" t="n">
        <v>1</v>
      </c>
      <c r="X24" s="17" t="n">
        <f aca="false">COUNTIF(B24:W24,1)+COUNTIF(B24:W24,"IC")</f>
        <v>4</v>
      </c>
      <c r="Y24" s="14" t="str">
        <f aca="false">IF(COUNTIF(B24:W24,"M")&gt;0,"N/A absence longue",IF(X24&gt;=2,"Atteint","Sous objectif"))</f>
        <v>Atteint</v>
      </c>
    </row>
    <row r="25" customFormat="false" ht="18" hidden="false" customHeight="true" outlineLevel="0" collapsed="false">
      <c r="A25" s="13" t="s">
        <v>79</v>
      </c>
      <c r="B25" s="14"/>
      <c r="C25" s="14"/>
      <c r="D25" s="14"/>
      <c r="E25" s="14"/>
      <c r="F25" s="14"/>
      <c r="G25" s="15"/>
      <c r="H25" s="14"/>
      <c r="I25" s="14"/>
      <c r="J25" s="14"/>
      <c r="K25" s="14"/>
      <c r="L25" s="15"/>
      <c r="M25" s="14"/>
      <c r="N25" s="14"/>
      <c r="O25" s="14"/>
      <c r="P25" s="14"/>
      <c r="Q25" s="15"/>
      <c r="R25" s="14"/>
      <c r="S25" s="14"/>
      <c r="T25" s="16" t="n">
        <v>1</v>
      </c>
      <c r="U25" s="14"/>
      <c r="V25" s="15"/>
      <c r="W25" s="14"/>
      <c r="X25" s="17" t="n">
        <f aca="false">COUNTIF(B25:W25,1)+COUNTIF(B25:W25,"IC")</f>
        <v>1</v>
      </c>
      <c r="Y25" s="14" t="str">
        <f aca="false">IF(COUNTIF(B25:W25,"M")&gt;0,"N/A absence longue",IF(X25&gt;=2,"Atteint","Sous objectif"))</f>
        <v>Sous objectif</v>
      </c>
    </row>
    <row r="26" customFormat="false" ht="18" hidden="false" customHeight="true" outlineLevel="0" collapsed="false">
      <c r="A26" s="13" t="s">
        <v>87</v>
      </c>
      <c r="B26" s="14"/>
      <c r="C26" s="14"/>
      <c r="D26" s="14"/>
      <c r="E26" s="14"/>
      <c r="F26" s="14"/>
      <c r="G26" s="15"/>
      <c r="H26" s="14"/>
      <c r="I26" s="14"/>
      <c r="J26" s="14"/>
      <c r="K26" s="14"/>
      <c r="L26" s="15"/>
      <c r="M26" s="14"/>
      <c r="N26" s="14"/>
      <c r="O26" s="14"/>
      <c r="P26" s="14"/>
      <c r="Q26" s="15"/>
      <c r="R26" s="14"/>
      <c r="S26" s="14"/>
      <c r="T26" s="14"/>
      <c r="U26" s="14"/>
      <c r="V26" s="15"/>
      <c r="W26" s="14"/>
      <c r="X26" s="17" t="n">
        <f aca="false">COUNTIF(B26:W26,1)+COUNTIF(B26:W26,"IC")</f>
        <v>0</v>
      </c>
      <c r="Y26" s="14" t="str">
        <f aca="false">IF(COUNTIF(B26:W26,"M")&gt;0,"N/A absence longue",IF(X26&gt;=2,"Atteint","Sous objectif"))</f>
        <v>Sous objectif</v>
      </c>
    </row>
    <row r="27" customFormat="false" ht="18" hidden="false" customHeight="true" outlineLevel="0" collapsed="false">
      <c r="A27" s="13" t="s">
        <v>88</v>
      </c>
      <c r="B27" s="14"/>
      <c r="C27" s="14"/>
      <c r="D27" s="14"/>
      <c r="E27" s="14"/>
      <c r="F27" s="14"/>
      <c r="G27" s="15"/>
      <c r="H27" s="14"/>
      <c r="I27" s="14"/>
      <c r="J27" s="14"/>
      <c r="K27" s="14"/>
      <c r="L27" s="15"/>
      <c r="M27" s="14"/>
      <c r="N27" s="14"/>
      <c r="O27" s="16" t="n">
        <v>1</v>
      </c>
      <c r="P27" s="14"/>
      <c r="Q27" s="15"/>
      <c r="R27" s="14"/>
      <c r="S27" s="14"/>
      <c r="T27" s="16" t="n">
        <v>1</v>
      </c>
      <c r="U27" s="14"/>
      <c r="V27" s="15"/>
      <c r="W27" s="14"/>
      <c r="X27" s="17" t="n">
        <f aca="false">COUNTIF(B27:W27,1)+COUNTIF(B27:W27,"IC")</f>
        <v>2</v>
      </c>
      <c r="Y27" s="14" t="str">
        <f aca="false">IF(COUNTIF(B27:W27,"M")&gt;0,"N/A absence longue",IF(X27&gt;=2,"Atteint","Sous objectif"))</f>
        <v>Atteint</v>
      </c>
    </row>
    <row r="28" customFormat="false" ht="18" hidden="false" customHeight="true" outlineLevel="0" collapsed="false">
      <c r="A28" s="13" t="s">
        <v>85</v>
      </c>
      <c r="B28" s="14"/>
      <c r="C28" s="14"/>
      <c r="D28" s="14"/>
      <c r="E28" s="14"/>
      <c r="F28" s="14"/>
      <c r="G28" s="15"/>
      <c r="H28" s="14"/>
      <c r="I28" s="16" t="n">
        <v>1</v>
      </c>
      <c r="J28" s="14"/>
      <c r="K28" s="14"/>
      <c r="L28" s="15"/>
      <c r="M28" s="16" t="n">
        <v>1</v>
      </c>
      <c r="N28" s="14"/>
      <c r="O28" s="14"/>
      <c r="P28" s="14"/>
      <c r="Q28" s="15"/>
      <c r="R28" s="16" t="n">
        <v>1</v>
      </c>
      <c r="S28" s="14"/>
      <c r="T28" s="14"/>
      <c r="U28" s="14"/>
      <c r="V28" s="15"/>
      <c r="W28" s="16" t="n">
        <v>1</v>
      </c>
      <c r="X28" s="17" t="n">
        <f aca="false">COUNTIF(B28:W28,1)+COUNTIF(B28:W28,"IC")</f>
        <v>4</v>
      </c>
      <c r="Y28" s="14" t="str">
        <f aca="false">IF(COUNTIF(B28:W28,"M")&gt;0,"N/A absence longue",IF(X28&gt;=2,"Atteint","Sous objectif"))</f>
        <v>Atteint</v>
      </c>
    </row>
    <row r="29" customFormat="false" ht="18" hidden="false" customHeight="true" outlineLevel="0" collapsed="false">
      <c r="A29" s="13" t="s">
        <v>68</v>
      </c>
      <c r="B29" s="14"/>
      <c r="C29" s="14"/>
      <c r="D29" s="14"/>
      <c r="E29" s="14"/>
      <c r="F29" s="14"/>
      <c r="G29" s="15"/>
      <c r="H29" s="14"/>
      <c r="I29" s="14"/>
      <c r="J29" s="14"/>
      <c r="K29" s="14"/>
      <c r="L29" s="15"/>
      <c r="M29" s="16" t="n">
        <v>1</v>
      </c>
      <c r="N29" s="14"/>
      <c r="O29" s="14"/>
      <c r="P29" s="14"/>
      <c r="Q29" s="15"/>
      <c r="R29" s="16" t="n">
        <v>1</v>
      </c>
      <c r="S29" s="14"/>
      <c r="T29" s="16" t="n">
        <v>1</v>
      </c>
      <c r="U29" s="14"/>
      <c r="V29" s="15"/>
      <c r="W29" s="14"/>
      <c r="X29" s="17" t="n">
        <f aca="false">COUNTIF(B29:W29,1)+COUNTIF(B29:W29,"IC")</f>
        <v>3</v>
      </c>
      <c r="Y29" s="14" t="str">
        <f aca="false">IF(COUNTIF(B29:W29,"M")&gt;0,"N/A absence longue",IF(X29&gt;=2,"Atteint","Sous objectif"))</f>
        <v>Atteint</v>
      </c>
    </row>
    <row r="31" customFormat="false" ht="15.75" hidden="false" customHeight="true" outlineLevel="0" collapsed="false">
      <c r="A31" s="23" t="s">
        <v>112</v>
      </c>
    </row>
    <row r="32" customFormat="false" ht="15.75" hidden="false" customHeight="true" outlineLevel="0" collapsed="false">
      <c r="A32" s="24" t="s">
        <v>106</v>
      </c>
      <c r="B32" s="14"/>
      <c r="C32" s="14"/>
      <c r="D32" s="14"/>
      <c r="E32" s="14"/>
      <c r="F32" s="14"/>
      <c r="G32" s="15"/>
      <c r="H32" s="14"/>
      <c r="I32" s="14"/>
      <c r="J32" s="14"/>
      <c r="K32" s="14"/>
      <c r="L32" s="15"/>
      <c r="M32" s="14"/>
      <c r="N32" s="14"/>
      <c r="O32" s="14"/>
      <c r="P32" s="14"/>
      <c r="Q32" s="15"/>
      <c r="R32" s="14"/>
      <c r="S32" s="14"/>
      <c r="T32" s="25" t="s">
        <v>18</v>
      </c>
      <c r="U32" s="14"/>
      <c r="V32" s="15"/>
      <c r="W32" s="14"/>
    </row>
    <row r="33" customFormat="false" ht="15.75" hidden="false" customHeight="true" outlineLevel="0" collapsed="false">
      <c r="A33" s="24" t="s">
        <v>104</v>
      </c>
      <c r="B33" s="14"/>
      <c r="C33" s="14"/>
      <c r="D33" s="14"/>
      <c r="E33" s="14"/>
      <c r="F33" s="14"/>
      <c r="G33" s="15"/>
      <c r="H33" s="14"/>
      <c r="I33" s="14"/>
      <c r="J33" s="14"/>
      <c r="K33" s="14"/>
      <c r="L33" s="15"/>
      <c r="M33" s="14"/>
      <c r="N33" s="14"/>
      <c r="O33" s="14"/>
      <c r="P33" s="14"/>
      <c r="Q33" s="15"/>
      <c r="R33" s="14"/>
      <c r="S33" s="14"/>
      <c r="T33" s="14"/>
      <c r="U33" s="14"/>
      <c r="V33" s="15"/>
      <c r="W33" s="14"/>
    </row>
    <row r="34" customFormat="false" ht="15.75" hidden="false" customHeight="true" outlineLevel="0" collapsed="false">
      <c r="A34" s="24" t="s">
        <v>113</v>
      </c>
      <c r="B34" s="14"/>
      <c r="C34" s="14"/>
      <c r="D34" s="14"/>
      <c r="E34" s="14"/>
      <c r="F34" s="14"/>
      <c r="G34" s="15"/>
      <c r="H34" s="14"/>
      <c r="I34" s="14"/>
      <c r="J34" s="14"/>
      <c r="K34" s="14"/>
      <c r="L34" s="15"/>
      <c r="M34" s="14"/>
      <c r="N34" s="14"/>
      <c r="O34" s="14"/>
      <c r="P34" s="14"/>
      <c r="Q34" s="15"/>
      <c r="R34" s="14"/>
      <c r="S34" s="14"/>
      <c r="T34" s="14"/>
      <c r="U34" s="14"/>
      <c r="V34" s="15"/>
      <c r="W34" s="14"/>
    </row>
  </sheetData>
  <mergeCells count="1">
    <mergeCell ref="A1:Y1"/>
  </mergeCells>
  <conditionalFormatting sqref="B4:W29">
    <cfRule type="cellIs" priority="2" operator="equal" aboveAverage="0" equalAverage="0" bottom="0" percent="0" rank="0" text="" dxfId="0">
      <formula>1</formula>
    </cfRule>
    <cfRule type="cellIs" priority="3" operator="equal" aboveAverage="0" equalAverage="0" bottom="0" percent="0" rank="0" text="" dxfId="1">
      <formula>"IC"</formula>
    </cfRule>
    <cfRule type="cellIs" priority="4" operator="equal" aboveAverage="0" equalAverage="0" bottom="0" percent="0" rank="0" text="" dxfId="2">
      <formula>"M"</formula>
    </cfRule>
  </conditionalFormatting>
  <conditionalFormatting sqref="B32:W34">
    <cfRule type="cellIs" priority="5" operator="equal" aboveAverage="0" equalAverage="0" bottom="0" percent="0" rank="0" text="" dxfId="3">
      <formula>"X"</formula>
    </cfRule>
  </conditionalFormatting>
  <dataValidations count="2">
    <dataValidation allowBlank="true" error="Valeurs autorisées : X ou vide." errorStyle="stop" errorTitle="Valeur invalide" operator="between" showDropDown="false" showErrorMessage="true" showInputMessage="false" sqref="B32:W34" type="list">
      <formula1>"X"</formula1>
      <formula2>0</formula2>
    </dataValidation>
    <dataValidation allowBlank="true" error="Valeurs autorisées : 1, IC, M ou vide." errorStyle="stop" errorTitle="Valeur invalide" operator="between" showDropDown="false" showErrorMessage="true" showInputMessage="false" sqref="B4:W29" type="list">
      <formula1>"1,IC,M"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J18" activeCellId="0" sqref="J18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4" min="2" style="0" width="8"/>
    <col collapsed="false" customWidth="true" hidden="false" outlineLevel="0" max="25" min="25" style="0" width="18"/>
  </cols>
  <sheetData>
    <row r="1" customFormat="false" ht="21.75" hidden="false" customHeight="true" outlineLevel="0" collapsed="false">
      <c r="A1" s="7" t="s">
        <v>115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3" customFormat="false" ht="21.75" hidden="false" customHeight="true" outlineLevel="0" collapsed="false">
      <c r="A3" s="8" t="s">
        <v>64</v>
      </c>
      <c r="B3" s="9" t="n">
        <v>46113</v>
      </c>
      <c r="C3" s="9" t="n">
        <v>46114</v>
      </c>
      <c r="D3" s="9" t="n">
        <v>46115</v>
      </c>
      <c r="E3" s="10" t="n">
        <v>46118</v>
      </c>
      <c r="F3" s="9" t="n">
        <v>46119</v>
      </c>
      <c r="G3" s="9" t="n">
        <v>46120</v>
      </c>
      <c r="H3" s="9" t="n">
        <v>46121</v>
      </c>
      <c r="I3" s="9" t="n">
        <v>46122</v>
      </c>
      <c r="J3" s="10" t="n">
        <v>46125</v>
      </c>
      <c r="K3" s="9" t="n">
        <v>46126</v>
      </c>
      <c r="L3" s="9" t="n">
        <v>46127</v>
      </c>
      <c r="M3" s="9" t="n">
        <v>46128</v>
      </c>
      <c r="N3" s="9" t="n">
        <v>46129</v>
      </c>
      <c r="O3" s="10" t="n">
        <v>46132</v>
      </c>
      <c r="P3" s="9" t="n">
        <v>46133</v>
      </c>
      <c r="Q3" s="9" t="n">
        <v>46134</v>
      </c>
      <c r="R3" s="9" t="n">
        <v>46135</v>
      </c>
      <c r="S3" s="9" t="n">
        <v>46136</v>
      </c>
      <c r="T3" s="10" t="n">
        <v>46139</v>
      </c>
      <c r="U3" s="9" t="n">
        <v>46140</v>
      </c>
      <c r="V3" s="9" t="n">
        <v>46141</v>
      </c>
      <c r="W3" s="9" t="n">
        <v>46142</v>
      </c>
      <c r="X3" s="11" t="s">
        <v>110</v>
      </c>
      <c r="Y3" s="12" t="s">
        <v>111</v>
      </c>
    </row>
    <row r="4" customFormat="false" ht="18" hidden="false" customHeight="true" outlineLevel="0" collapsed="false">
      <c r="A4" s="13" t="s">
        <v>77</v>
      </c>
      <c r="B4" s="14"/>
      <c r="C4" s="14"/>
      <c r="D4" s="14"/>
      <c r="E4" s="15"/>
      <c r="F4" s="14"/>
      <c r="G4" s="14"/>
      <c r="H4" s="14"/>
      <c r="I4" s="14"/>
      <c r="J4" s="15"/>
      <c r="K4" s="14"/>
      <c r="L4" s="14"/>
      <c r="M4" s="14"/>
      <c r="N4" s="14"/>
      <c r="O4" s="15"/>
      <c r="P4" s="14"/>
      <c r="Q4" s="14"/>
      <c r="R4" s="16" t="n">
        <v>1</v>
      </c>
      <c r="S4" s="14"/>
      <c r="T4" s="15"/>
      <c r="U4" s="14" t="n">
        <v>1</v>
      </c>
      <c r="V4" s="14"/>
      <c r="W4" s="14"/>
      <c r="X4" s="17" t="n">
        <f aca="false">COUNTIF(B4:W4,1)+COUNTIF(B4:W4,"IC")</f>
        <v>2</v>
      </c>
      <c r="Y4" s="14" t="str">
        <f aca="false">IF(COUNTIF(B4:W4,"M")&gt;0,"N/A absence longue",IF(X4&gt;=2,"Atteint","Sous objectif"))</f>
        <v>Atteint</v>
      </c>
    </row>
    <row r="5" customFormat="false" ht="18" hidden="false" customHeight="true" outlineLevel="0" collapsed="false">
      <c r="A5" s="13" t="s">
        <v>92</v>
      </c>
      <c r="B5" s="14"/>
      <c r="C5" s="20" t="s">
        <v>9</v>
      </c>
      <c r="D5" s="14"/>
      <c r="E5" s="15"/>
      <c r="F5" s="20" t="s">
        <v>9</v>
      </c>
      <c r="G5" s="14"/>
      <c r="H5" s="20" t="s">
        <v>9</v>
      </c>
      <c r="I5" s="14"/>
      <c r="J5" s="21" t="s">
        <v>9</v>
      </c>
      <c r="K5" s="20" t="s">
        <v>9</v>
      </c>
      <c r="L5" s="14"/>
      <c r="M5" s="20" t="s">
        <v>9</v>
      </c>
      <c r="N5" s="14"/>
      <c r="O5" s="21" t="s">
        <v>9</v>
      </c>
      <c r="P5" s="14"/>
      <c r="Q5" s="14"/>
      <c r="R5" s="20" t="s">
        <v>9</v>
      </c>
      <c r="S5" s="14"/>
      <c r="T5" s="15" t="s">
        <v>9</v>
      </c>
      <c r="U5" s="14" t="s">
        <v>9</v>
      </c>
      <c r="V5" s="14"/>
      <c r="W5" s="14" t="s">
        <v>9</v>
      </c>
      <c r="X5" s="17" t="n">
        <f aca="false">COUNTIF(B5:W5,1)+COUNTIF(B5:W5,"IC")</f>
        <v>11</v>
      </c>
      <c r="Y5" s="14" t="str">
        <f aca="false">IF(COUNTIF(B5:W5,"M")&gt;0,"N/A absence longue",IF(X5&gt;=2,"Atteint","Sous objectif"))</f>
        <v>Atteint</v>
      </c>
    </row>
    <row r="6" customFormat="false" ht="18" hidden="false" customHeight="true" outlineLevel="0" collapsed="false">
      <c r="A6" s="13" t="s">
        <v>74</v>
      </c>
      <c r="B6" s="14"/>
      <c r="C6" s="14"/>
      <c r="D6" s="14"/>
      <c r="E6" s="15"/>
      <c r="F6" s="14"/>
      <c r="G6" s="14"/>
      <c r="H6" s="14"/>
      <c r="I6" s="14"/>
      <c r="J6" s="15"/>
      <c r="K6" s="14"/>
      <c r="L6" s="14"/>
      <c r="M6" s="14"/>
      <c r="N6" s="14"/>
      <c r="O6" s="15"/>
      <c r="P6" s="14"/>
      <c r="Q6" s="14"/>
      <c r="R6" s="16" t="n">
        <v>1</v>
      </c>
      <c r="S6" s="14"/>
      <c r="T6" s="15"/>
      <c r="U6" s="14"/>
      <c r="V6" s="14"/>
      <c r="W6" s="14"/>
      <c r="X6" s="17" t="n">
        <f aca="false">COUNTIF(B6:W6,1)+COUNTIF(B6:W6,"IC")</f>
        <v>1</v>
      </c>
      <c r="Y6" s="14" t="str">
        <f aca="false">IF(COUNTIF(B6:W6,"M")&gt;0,"N/A absence longue",IF(X6&gt;=2,"Atteint","Sous objectif"))</f>
        <v>Sous objectif</v>
      </c>
    </row>
    <row r="7" customFormat="false" ht="18" hidden="false" customHeight="true" outlineLevel="0" collapsed="false">
      <c r="A7" s="13" t="s">
        <v>84</v>
      </c>
      <c r="B7" s="14"/>
      <c r="C7" s="14"/>
      <c r="D7" s="14"/>
      <c r="E7" s="15"/>
      <c r="F7" s="14"/>
      <c r="G7" s="14"/>
      <c r="H7" s="14"/>
      <c r="I7" s="14"/>
      <c r="J7" s="15"/>
      <c r="K7" s="16" t="n">
        <v>1</v>
      </c>
      <c r="L7" s="14"/>
      <c r="M7" s="16" t="n">
        <v>1</v>
      </c>
      <c r="N7" s="14"/>
      <c r="O7" s="15"/>
      <c r="P7" s="14"/>
      <c r="Q7" s="14"/>
      <c r="R7" s="16" t="n">
        <v>1</v>
      </c>
      <c r="S7" s="14"/>
      <c r="T7" s="15"/>
      <c r="U7" s="14" t="n">
        <v>1</v>
      </c>
      <c r="V7" s="14"/>
      <c r="W7" s="14"/>
      <c r="X7" s="17" t="n">
        <f aca="false">COUNTIF(B7:W7,1)+COUNTIF(B7:W7,"IC")</f>
        <v>4</v>
      </c>
      <c r="Y7" s="14" t="str">
        <f aca="false">IF(COUNTIF(B7:W7,"M")&gt;0,"N/A absence longue",IF(X7&gt;=2,"Atteint","Sous objectif"))</f>
        <v>Atteint</v>
      </c>
    </row>
    <row r="8" customFormat="false" ht="18" hidden="false" customHeight="true" outlineLevel="0" collapsed="false">
      <c r="A8" s="13" t="s">
        <v>83</v>
      </c>
      <c r="B8" s="14"/>
      <c r="C8" s="20" t="s">
        <v>9</v>
      </c>
      <c r="D8" s="14"/>
      <c r="E8" s="15"/>
      <c r="F8" s="20" t="s">
        <v>9</v>
      </c>
      <c r="G8" s="14"/>
      <c r="H8" s="20" t="s">
        <v>9</v>
      </c>
      <c r="I8" s="14"/>
      <c r="J8" s="21" t="s">
        <v>9</v>
      </c>
      <c r="K8" s="20" t="s">
        <v>9</v>
      </c>
      <c r="L8" s="14"/>
      <c r="M8" s="20" t="s">
        <v>9</v>
      </c>
      <c r="N8" s="14"/>
      <c r="O8" s="21" t="s">
        <v>9</v>
      </c>
      <c r="P8" s="20" t="s">
        <v>9</v>
      </c>
      <c r="Q8" s="14"/>
      <c r="R8" s="20" t="s">
        <v>9</v>
      </c>
      <c r="S8" s="14"/>
      <c r="T8" s="15" t="s">
        <v>9</v>
      </c>
      <c r="U8" s="14" t="s">
        <v>9</v>
      </c>
      <c r="V8" s="14"/>
      <c r="W8" s="14" t="s">
        <v>9</v>
      </c>
      <c r="X8" s="17" t="n">
        <f aca="false">COUNTIF(B8:W8,1)+COUNTIF(B8:W8,"IC")</f>
        <v>12</v>
      </c>
      <c r="Y8" s="14" t="str">
        <f aca="false">IF(COUNTIF(B8:W8,"M")&gt;0,"N/A absence longue",IF(X8&gt;=2,"Atteint","Sous objectif"))</f>
        <v>Atteint</v>
      </c>
    </row>
    <row r="9" customFormat="false" ht="18" hidden="false" customHeight="true" outlineLevel="0" collapsed="false">
      <c r="A9" s="13" t="s">
        <v>71</v>
      </c>
      <c r="B9" s="14"/>
      <c r="C9" s="14"/>
      <c r="D9" s="14"/>
      <c r="E9" s="15"/>
      <c r="F9" s="16" t="n">
        <v>1</v>
      </c>
      <c r="G9" s="14"/>
      <c r="H9" s="14"/>
      <c r="I9" s="14"/>
      <c r="J9" s="15"/>
      <c r="K9" s="14"/>
      <c r="L9" s="14"/>
      <c r="M9" s="14"/>
      <c r="N9" s="14"/>
      <c r="O9" s="15"/>
      <c r="P9" s="14"/>
      <c r="Q9" s="14"/>
      <c r="R9" s="16" t="n">
        <v>1</v>
      </c>
      <c r="S9" s="14"/>
      <c r="T9" s="15"/>
      <c r="U9" s="14"/>
      <c r="V9" s="14"/>
      <c r="W9" s="14"/>
      <c r="X9" s="17" t="n">
        <f aca="false">COUNTIF(B9:W9,1)+COUNTIF(B9:W9,"IC")</f>
        <v>2</v>
      </c>
      <c r="Y9" s="14" t="str">
        <f aca="false">IF(COUNTIF(B9:W9,"M")&gt;0,"N/A absence longue",IF(X9&gt;=2,"Atteint","Sous objectif"))</f>
        <v>Atteint</v>
      </c>
    </row>
    <row r="10" customFormat="false" ht="18" hidden="false" customHeight="true" outlineLevel="0" collapsed="false">
      <c r="A10" s="13" t="s">
        <v>86</v>
      </c>
      <c r="B10" s="14"/>
      <c r="C10" s="14"/>
      <c r="D10" s="14"/>
      <c r="E10" s="15"/>
      <c r="F10" s="14"/>
      <c r="G10" s="14"/>
      <c r="H10" s="16" t="n">
        <v>1</v>
      </c>
      <c r="I10" s="14"/>
      <c r="J10" s="15"/>
      <c r="K10" s="16" t="n">
        <v>1</v>
      </c>
      <c r="L10" s="14"/>
      <c r="M10" s="16" t="n">
        <v>1</v>
      </c>
      <c r="N10" s="14"/>
      <c r="O10" s="15"/>
      <c r="P10" s="14"/>
      <c r="Q10" s="14"/>
      <c r="R10" s="16" t="n">
        <v>1</v>
      </c>
      <c r="S10" s="14"/>
      <c r="T10" s="15"/>
      <c r="U10" s="14" t="n">
        <v>1</v>
      </c>
      <c r="V10" s="14"/>
      <c r="W10" s="14" t="n">
        <v>1</v>
      </c>
      <c r="X10" s="17" t="n">
        <f aca="false">COUNTIF(B10:W10,1)+COUNTIF(B10:W10,"IC")</f>
        <v>6</v>
      </c>
      <c r="Y10" s="14" t="str">
        <f aca="false">IF(COUNTIF(B10:W10,"M")&gt;0,"N/A absence longue",IF(X10&gt;=2,"Atteint","Sous objectif"))</f>
        <v>Atteint</v>
      </c>
    </row>
    <row r="11" customFormat="false" ht="18" hidden="false" customHeight="true" outlineLevel="0" collapsed="false">
      <c r="A11" s="13" t="s">
        <v>82</v>
      </c>
      <c r="B11" s="14"/>
      <c r="C11" s="16" t="n">
        <v>1</v>
      </c>
      <c r="D11" s="14"/>
      <c r="E11" s="15"/>
      <c r="F11" s="14"/>
      <c r="G11" s="14"/>
      <c r="H11" s="14"/>
      <c r="I11" s="14"/>
      <c r="J11" s="15"/>
      <c r="K11" s="14"/>
      <c r="L11" s="14"/>
      <c r="M11" s="14"/>
      <c r="N11" s="14"/>
      <c r="O11" s="15"/>
      <c r="P11" s="14"/>
      <c r="Q11" s="14"/>
      <c r="R11" s="16" t="n">
        <v>1</v>
      </c>
      <c r="S11" s="14"/>
      <c r="T11" s="15"/>
      <c r="U11" s="14"/>
      <c r="V11" s="14"/>
      <c r="W11" s="14"/>
      <c r="X11" s="17" t="n">
        <f aca="false">COUNTIF(B11:W11,1)+COUNTIF(B11:W11,"IC")</f>
        <v>2</v>
      </c>
      <c r="Y11" s="14" t="str">
        <f aca="false">IF(COUNTIF(B11:W11,"M")&gt;0,"N/A absence longue",IF(X11&gt;=2,"Atteint","Sous objectif"))</f>
        <v>Atteint</v>
      </c>
    </row>
    <row r="12" customFormat="false" ht="18" hidden="false" customHeight="true" outlineLevel="0" collapsed="false">
      <c r="A12" s="13" t="s">
        <v>70</v>
      </c>
      <c r="B12" s="14"/>
      <c r="C12" s="14"/>
      <c r="D12" s="14"/>
      <c r="E12" s="15"/>
      <c r="F12" s="14"/>
      <c r="G12" s="14"/>
      <c r="H12" s="14"/>
      <c r="I12" s="14"/>
      <c r="J12" s="15"/>
      <c r="K12" s="14"/>
      <c r="L12" s="14"/>
      <c r="M12" s="14"/>
      <c r="N12" s="14"/>
      <c r="O12" s="15"/>
      <c r="P12" s="14"/>
      <c r="Q12" s="14"/>
      <c r="R12" s="16" t="n">
        <v>1</v>
      </c>
      <c r="S12" s="14"/>
      <c r="T12" s="15"/>
      <c r="U12" s="14"/>
      <c r="V12" s="14"/>
      <c r="W12" s="14"/>
      <c r="X12" s="17" t="n">
        <f aca="false">COUNTIF(B12:W12,1)+COUNTIF(B12:W12,"IC")</f>
        <v>1</v>
      </c>
      <c r="Y12" s="14" t="str">
        <f aca="false">IF(COUNTIF(B12:W12,"M")&gt;0,"N/A absence longue",IF(X12&gt;=2,"Atteint","Sous objectif"))</f>
        <v>Sous objectif</v>
      </c>
    </row>
    <row r="13" customFormat="false" ht="18" hidden="false" customHeight="true" outlineLevel="0" collapsed="false">
      <c r="A13" s="13" t="s">
        <v>67</v>
      </c>
      <c r="B13" s="14"/>
      <c r="C13" s="14"/>
      <c r="D13" s="14"/>
      <c r="E13" s="15"/>
      <c r="F13" s="16" t="n">
        <v>1</v>
      </c>
      <c r="G13" s="14"/>
      <c r="H13" s="14"/>
      <c r="I13" s="14"/>
      <c r="J13" s="15"/>
      <c r="K13" s="14"/>
      <c r="L13" s="14"/>
      <c r="M13" s="14"/>
      <c r="N13" s="14"/>
      <c r="O13" s="15"/>
      <c r="P13" s="14"/>
      <c r="Q13" s="14"/>
      <c r="R13" s="14"/>
      <c r="S13" s="14"/>
      <c r="T13" s="15"/>
      <c r="U13" s="14"/>
      <c r="V13" s="14"/>
      <c r="W13" s="14"/>
      <c r="X13" s="17" t="n">
        <f aca="false">COUNTIF(B13:W13,1)+COUNTIF(B13:W13,"IC")</f>
        <v>1</v>
      </c>
      <c r="Y13" s="14" t="str">
        <f aca="false">IF(COUNTIF(B13:W13,"M")&gt;0,"N/A absence longue",IF(X13&gt;=2,"Atteint","Sous objectif"))</f>
        <v>Sous objectif</v>
      </c>
    </row>
    <row r="14" customFormat="false" ht="18" hidden="false" customHeight="true" outlineLevel="0" collapsed="false">
      <c r="A14" s="13" t="s">
        <v>90</v>
      </c>
      <c r="B14" s="14"/>
      <c r="C14" s="14"/>
      <c r="D14" s="14"/>
      <c r="E14" s="15"/>
      <c r="F14" s="14"/>
      <c r="G14" s="14"/>
      <c r="H14" s="14"/>
      <c r="I14" s="14"/>
      <c r="J14" s="15"/>
      <c r="K14" s="14"/>
      <c r="L14" s="14"/>
      <c r="M14" s="16" t="n">
        <v>1</v>
      </c>
      <c r="N14" s="14"/>
      <c r="O14" s="15"/>
      <c r="P14" s="14"/>
      <c r="Q14" s="14"/>
      <c r="R14" s="16" t="n">
        <v>1</v>
      </c>
      <c r="S14" s="14"/>
      <c r="T14" s="15"/>
      <c r="U14" s="14"/>
      <c r="V14" s="14"/>
      <c r="W14" s="14"/>
      <c r="X14" s="17" t="n">
        <f aca="false">COUNTIF(B14:W14,1)+COUNTIF(B14:W14,"IC")</f>
        <v>2</v>
      </c>
      <c r="Y14" s="14" t="str">
        <f aca="false">IF(COUNTIF(B14:W14,"M")&gt;0,"N/A absence longue",IF(X14&gt;=2,"Atteint","Sous objectif"))</f>
        <v>Atteint</v>
      </c>
    </row>
    <row r="15" customFormat="false" ht="18" hidden="false" customHeight="true" outlineLevel="0" collapsed="false">
      <c r="A15" s="13" t="s">
        <v>78</v>
      </c>
      <c r="B15" s="14"/>
      <c r="C15" s="14"/>
      <c r="D15" s="14"/>
      <c r="E15" s="15"/>
      <c r="F15" s="14"/>
      <c r="G15" s="14"/>
      <c r="H15" s="14"/>
      <c r="I15" s="14"/>
      <c r="J15" s="22" t="n">
        <v>1</v>
      </c>
      <c r="K15" s="14"/>
      <c r="L15" s="16" t="n">
        <v>1</v>
      </c>
      <c r="M15" s="14"/>
      <c r="N15" s="14"/>
      <c r="O15" s="15"/>
      <c r="P15" s="14"/>
      <c r="Q15" s="14"/>
      <c r="R15" s="16" t="n">
        <v>1</v>
      </c>
      <c r="S15" s="14"/>
      <c r="T15" s="15"/>
      <c r="U15" s="14" t="n">
        <v>1</v>
      </c>
      <c r="V15" s="14"/>
      <c r="W15" s="14"/>
      <c r="X15" s="17" t="n">
        <f aca="false">COUNTIF(B15:W15,1)+COUNTIF(B15:W15,"IC")</f>
        <v>4</v>
      </c>
      <c r="Y15" s="14" t="str">
        <f aca="false">IF(COUNTIF(B15:W15,"M")&gt;0,"N/A absence longue",IF(X15&gt;=2,"Atteint","Sous objectif"))</f>
        <v>Atteint</v>
      </c>
    </row>
    <row r="16" customFormat="false" ht="18" hidden="false" customHeight="true" outlineLevel="0" collapsed="false">
      <c r="A16" s="13" t="s">
        <v>91</v>
      </c>
      <c r="B16" s="14"/>
      <c r="C16" s="14"/>
      <c r="D16" s="14"/>
      <c r="E16" s="15"/>
      <c r="F16" s="16" t="n">
        <v>1</v>
      </c>
      <c r="G16" s="14"/>
      <c r="H16" s="14"/>
      <c r="I16" s="14"/>
      <c r="J16" s="15"/>
      <c r="K16" s="14"/>
      <c r="L16" s="14"/>
      <c r="M16" s="14"/>
      <c r="N16" s="14"/>
      <c r="O16" s="15"/>
      <c r="P16" s="14"/>
      <c r="Q16" s="14"/>
      <c r="R16" s="16" t="n">
        <v>1</v>
      </c>
      <c r="S16" s="14"/>
      <c r="T16" s="15"/>
      <c r="U16" s="14"/>
      <c r="V16" s="14"/>
      <c r="W16" s="14"/>
      <c r="X16" s="17" t="n">
        <f aca="false">COUNTIF(B16:W16,1)+COUNTIF(B16:W16,"IC")</f>
        <v>2</v>
      </c>
      <c r="Y16" s="14" t="str">
        <f aca="false">IF(COUNTIF(B16:W16,"M")&gt;0,"N/A absence longue",IF(X16&gt;=2,"Atteint","Sous objectif"))</f>
        <v>Atteint</v>
      </c>
    </row>
    <row r="17" customFormat="false" ht="18" hidden="false" customHeight="true" outlineLevel="0" collapsed="false">
      <c r="A17" s="13" t="s">
        <v>75</v>
      </c>
      <c r="B17" s="14"/>
      <c r="C17" s="14"/>
      <c r="D17" s="14"/>
      <c r="E17" s="15"/>
      <c r="F17" s="16" t="n">
        <v>1</v>
      </c>
      <c r="G17" s="14"/>
      <c r="H17" s="14"/>
      <c r="I17" s="14"/>
      <c r="J17" s="15"/>
      <c r="K17" s="14"/>
      <c r="L17" s="14"/>
      <c r="M17" s="14"/>
      <c r="N17" s="14"/>
      <c r="O17" s="21" t="s">
        <v>9</v>
      </c>
      <c r="P17" s="14"/>
      <c r="Q17" s="20" t="s">
        <v>9</v>
      </c>
      <c r="R17" s="14"/>
      <c r="S17" s="14"/>
      <c r="T17" s="15"/>
      <c r="U17" s="14"/>
      <c r="V17" s="14"/>
      <c r="W17" s="14"/>
      <c r="X17" s="17" t="n">
        <f aca="false">COUNTIF(B17:W17,1)+COUNTIF(B17:W17,"IC")</f>
        <v>3</v>
      </c>
      <c r="Y17" s="14" t="str">
        <f aca="false">IF(COUNTIF(B17:W17,"M")&gt;0,"N/A absence longue",IF(X17&gt;=2,"Atteint","Sous objectif"))</f>
        <v>Atteint</v>
      </c>
    </row>
    <row r="18" customFormat="false" ht="18" hidden="false" customHeight="true" outlineLevel="0" collapsed="false">
      <c r="A18" s="13" t="s">
        <v>81</v>
      </c>
      <c r="B18" s="14"/>
      <c r="C18" s="14"/>
      <c r="D18" s="14"/>
      <c r="E18" s="15"/>
      <c r="F18" s="16" t="n">
        <v>1</v>
      </c>
      <c r="G18" s="14"/>
      <c r="H18" s="14"/>
      <c r="I18" s="14"/>
      <c r="J18" s="15"/>
      <c r="K18" s="14"/>
      <c r="L18" s="14"/>
      <c r="M18" s="14"/>
      <c r="N18" s="14"/>
      <c r="O18" s="15"/>
      <c r="P18" s="14"/>
      <c r="Q18" s="14"/>
      <c r="R18" s="16" t="n">
        <v>1</v>
      </c>
      <c r="S18" s="14"/>
      <c r="T18" s="15"/>
      <c r="U18" s="14"/>
      <c r="V18" s="14"/>
      <c r="W18" s="14"/>
      <c r="X18" s="17" t="n">
        <f aca="false">COUNTIF(B18:W18,1)+COUNTIF(B18:W18,"IC")</f>
        <v>2</v>
      </c>
      <c r="Y18" s="14" t="str">
        <f aca="false">IF(COUNTIF(B18:W18,"M")&gt;0,"N/A absence longue",IF(X18&gt;=2,"Atteint","Sous objectif"))</f>
        <v>Atteint</v>
      </c>
    </row>
    <row r="19" customFormat="false" ht="18" hidden="false" customHeight="true" outlineLevel="0" collapsed="false">
      <c r="A19" s="13" t="s">
        <v>89</v>
      </c>
      <c r="B19" s="14"/>
      <c r="C19" s="14"/>
      <c r="D19" s="14"/>
      <c r="E19" s="15"/>
      <c r="F19" s="16" t="n">
        <v>1</v>
      </c>
      <c r="G19" s="14"/>
      <c r="H19" s="14"/>
      <c r="I19" s="14"/>
      <c r="J19" s="15"/>
      <c r="K19" s="14"/>
      <c r="L19" s="14"/>
      <c r="M19" s="14"/>
      <c r="N19" s="14"/>
      <c r="O19" s="15"/>
      <c r="P19" s="14"/>
      <c r="Q19" s="14"/>
      <c r="R19" s="16" t="n">
        <v>1</v>
      </c>
      <c r="S19" s="14"/>
      <c r="T19" s="15"/>
      <c r="U19" s="14" t="n">
        <v>1</v>
      </c>
      <c r="V19" s="14"/>
      <c r="W19" s="14"/>
      <c r="X19" s="17" t="n">
        <f aca="false">COUNTIF(B19:W19,1)+COUNTIF(B19:W19,"IC")</f>
        <v>3</v>
      </c>
      <c r="Y19" s="14" t="str">
        <f aca="false">IF(COUNTIF(B19:W19,"M")&gt;0,"N/A absence longue",IF(X19&gt;=2,"Atteint","Sous objectif"))</f>
        <v>Atteint</v>
      </c>
    </row>
    <row r="20" customFormat="false" ht="18" hidden="false" customHeight="true" outlineLevel="0" collapsed="false">
      <c r="A20" s="13" t="s">
        <v>80</v>
      </c>
      <c r="B20" s="14"/>
      <c r="C20" s="14"/>
      <c r="D20" s="14"/>
      <c r="E20" s="15"/>
      <c r="F20" s="14"/>
      <c r="G20" s="14"/>
      <c r="H20" s="16" t="n">
        <v>1</v>
      </c>
      <c r="I20" s="14"/>
      <c r="J20" s="15"/>
      <c r="K20" s="14"/>
      <c r="L20" s="16" t="n">
        <v>1</v>
      </c>
      <c r="M20" s="14"/>
      <c r="N20" s="14"/>
      <c r="O20" s="15"/>
      <c r="P20" s="14"/>
      <c r="Q20" s="14"/>
      <c r="R20" s="16" t="n">
        <v>1</v>
      </c>
      <c r="S20" s="14"/>
      <c r="T20" s="15"/>
      <c r="U20" s="14"/>
      <c r="V20" s="14"/>
      <c r="W20" s="14"/>
      <c r="X20" s="17" t="n">
        <f aca="false">COUNTIF(B20:W20,1)+COUNTIF(B20:W20,"IC")</f>
        <v>3</v>
      </c>
      <c r="Y20" s="14" t="str">
        <f aca="false">IF(COUNTIF(B20:W20,"M")&gt;0,"N/A absence longue",IF(X20&gt;=2,"Atteint","Sous objectif"))</f>
        <v>Atteint</v>
      </c>
    </row>
    <row r="21" customFormat="false" ht="18" hidden="false" customHeight="true" outlineLevel="0" collapsed="false">
      <c r="A21" s="13" t="s">
        <v>72</v>
      </c>
      <c r="B21" s="14"/>
      <c r="C21" s="14"/>
      <c r="D21" s="14"/>
      <c r="E21" s="15"/>
      <c r="F21" s="16" t="n">
        <v>1</v>
      </c>
      <c r="G21" s="14"/>
      <c r="H21" s="14"/>
      <c r="I21" s="14"/>
      <c r="J21" s="22" t="n">
        <v>1</v>
      </c>
      <c r="K21" s="14"/>
      <c r="L21" s="14"/>
      <c r="M21" s="14"/>
      <c r="N21" s="14"/>
      <c r="O21" s="15"/>
      <c r="P21" s="14"/>
      <c r="Q21" s="14"/>
      <c r="R21" s="16" t="n">
        <v>1</v>
      </c>
      <c r="S21" s="14"/>
      <c r="T21" s="15"/>
      <c r="U21" s="14"/>
      <c r="V21" s="14"/>
      <c r="W21" s="14"/>
      <c r="X21" s="17" t="n">
        <f aca="false">COUNTIF(B21:W21,1)+COUNTIF(B21:W21,"IC")</f>
        <v>3</v>
      </c>
      <c r="Y21" s="14" t="str">
        <f aca="false">IF(COUNTIF(B21:W21,"M")&gt;0,"N/A absence longue",IF(X21&gt;=2,"Atteint","Sous objectif"))</f>
        <v>Atteint</v>
      </c>
    </row>
    <row r="22" customFormat="false" ht="18" hidden="false" customHeight="true" outlineLevel="0" collapsed="false">
      <c r="A22" s="13" t="s">
        <v>73</v>
      </c>
      <c r="B22" s="14"/>
      <c r="C22" s="14"/>
      <c r="D22" s="14"/>
      <c r="E22" s="15"/>
      <c r="F22" s="14"/>
      <c r="G22" s="14"/>
      <c r="H22" s="14"/>
      <c r="I22" s="14"/>
      <c r="J22" s="15"/>
      <c r="K22" s="14"/>
      <c r="L22" s="14"/>
      <c r="M22" s="16" t="n">
        <v>1</v>
      </c>
      <c r="N22" s="14"/>
      <c r="O22" s="15"/>
      <c r="P22" s="14"/>
      <c r="Q22" s="14"/>
      <c r="R22" s="16" t="n">
        <v>1</v>
      </c>
      <c r="S22" s="14"/>
      <c r="T22" s="15"/>
      <c r="U22" s="14"/>
      <c r="V22" s="14"/>
      <c r="W22" s="14"/>
      <c r="X22" s="17" t="n">
        <f aca="false">COUNTIF(B22:W22,1)+COUNTIF(B22:W22,"IC")</f>
        <v>2</v>
      </c>
      <c r="Y22" s="14" t="str">
        <f aca="false">IF(COUNTIF(B22:W22,"M")&gt;0,"N/A absence longue",IF(X22&gt;=2,"Atteint","Sous objectif"))</f>
        <v>Atteint</v>
      </c>
    </row>
    <row r="23" customFormat="false" ht="18" hidden="false" customHeight="true" outlineLevel="0" collapsed="false">
      <c r="A23" s="13" t="s">
        <v>69</v>
      </c>
      <c r="B23" s="14"/>
      <c r="C23" s="14"/>
      <c r="D23" s="14"/>
      <c r="E23" s="15"/>
      <c r="F23" s="14"/>
      <c r="G23" s="14"/>
      <c r="H23" s="14"/>
      <c r="I23" s="14"/>
      <c r="J23" s="15"/>
      <c r="K23" s="14"/>
      <c r="L23" s="14"/>
      <c r="M23" s="16" t="n">
        <v>1</v>
      </c>
      <c r="N23" s="14"/>
      <c r="O23" s="15"/>
      <c r="P23" s="14"/>
      <c r="Q23" s="14"/>
      <c r="R23" s="16" t="n">
        <v>1</v>
      </c>
      <c r="S23" s="14"/>
      <c r="T23" s="15"/>
      <c r="U23" s="14"/>
      <c r="V23" s="14"/>
      <c r="W23" s="14"/>
      <c r="X23" s="17" t="n">
        <f aca="false">COUNTIF(B23:W23,1)+COUNTIF(B23:W23,"IC")</f>
        <v>2</v>
      </c>
      <c r="Y23" s="14" t="str">
        <f aca="false">IF(COUNTIF(B23:W23,"M")&gt;0,"N/A absence longue",IF(X23&gt;=2,"Atteint","Sous objectif"))</f>
        <v>Atteint</v>
      </c>
    </row>
    <row r="24" customFormat="false" ht="18" hidden="false" customHeight="true" outlineLevel="0" collapsed="false">
      <c r="A24" s="13" t="s">
        <v>76</v>
      </c>
      <c r="B24" s="14"/>
      <c r="C24" s="20" t="s">
        <v>9</v>
      </c>
      <c r="D24" s="14"/>
      <c r="E24" s="15"/>
      <c r="F24" s="14"/>
      <c r="G24" s="14"/>
      <c r="H24" s="14"/>
      <c r="I24" s="14"/>
      <c r="J24" s="15"/>
      <c r="K24" s="14"/>
      <c r="L24" s="14"/>
      <c r="M24" s="14"/>
      <c r="N24" s="14"/>
      <c r="O24" s="15"/>
      <c r="P24" s="14"/>
      <c r="Q24" s="14"/>
      <c r="R24" s="16" t="n">
        <v>1</v>
      </c>
      <c r="S24" s="14"/>
      <c r="T24" s="15"/>
      <c r="U24" s="14"/>
      <c r="V24" s="14"/>
      <c r="W24" s="14"/>
      <c r="X24" s="17" t="n">
        <f aca="false">COUNTIF(B24:W24,1)+COUNTIF(B24:W24,"IC")</f>
        <v>2</v>
      </c>
      <c r="Y24" s="14" t="str">
        <f aca="false">IF(COUNTIF(B24:W24,"M")&gt;0,"N/A absence longue",IF(X24&gt;=2,"Atteint","Sous objectif"))</f>
        <v>Atteint</v>
      </c>
    </row>
    <row r="25" customFormat="false" ht="18" hidden="false" customHeight="true" outlineLevel="0" collapsed="false">
      <c r="A25" s="13" t="s">
        <v>79</v>
      </c>
      <c r="B25" s="14"/>
      <c r="C25" s="14"/>
      <c r="D25" s="14"/>
      <c r="E25" s="15"/>
      <c r="F25" s="14"/>
      <c r="G25" s="14"/>
      <c r="H25" s="14"/>
      <c r="I25" s="14"/>
      <c r="J25" s="22" t="n">
        <v>1</v>
      </c>
      <c r="K25" s="14"/>
      <c r="L25" s="14"/>
      <c r="M25" s="14"/>
      <c r="N25" s="14"/>
      <c r="O25" s="15"/>
      <c r="P25" s="14"/>
      <c r="Q25" s="14"/>
      <c r="R25" s="16" t="n">
        <v>1</v>
      </c>
      <c r="S25" s="14"/>
      <c r="T25" s="15"/>
      <c r="U25" s="14"/>
      <c r="V25" s="14"/>
      <c r="W25" s="14"/>
      <c r="X25" s="17" t="n">
        <f aca="false">COUNTIF(B25:W25,1)+COUNTIF(B25:W25,"IC")</f>
        <v>2</v>
      </c>
      <c r="Y25" s="14" t="str">
        <f aca="false">IF(COUNTIF(B25:W25,"M")&gt;0,"N/A absence longue",IF(X25&gt;=2,"Atteint","Sous objectif"))</f>
        <v>Atteint</v>
      </c>
    </row>
    <row r="26" customFormat="false" ht="18" hidden="false" customHeight="true" outlineLevel="0" collapsed="false">
      <c r="A26" s="13" t="s">
        <v>87</v>
      </c>
      <c r="B26" s="14"/>
      <c r="C26" s="14"/>
      <c r="D26" s="14"/>
      <c r="E26" s="15"/>
      <c r="F26" s="14"/>
      <c r="G26" s="14"/>
      <c r="H26" s="14"/>
      <c r="I26" s="14"/>
      <c r="J26" s="15"/>
      <c r="K26" s="14"/>
      <c r="L26" s="14"/>
      <c r="M26" s="14"/>
      <c r="N26" s="14"/>
      <c r="O26" s="15"/>
      <c r="P26" s="14"/>
      <c r="Q26" s="14"/>
      <c r="R26" s="16" t="n">
        <v>1</v>
      </c>
      <c r="S26" s="14"/>
      <c r="T26" s="15"/>
      <c r="U26" s="14"/>
      <c r="V26" s="14"/>
      <c r="W26" s="14"/>
      <c r="X26" s="17" t="n">
        <f aca="false">COUNTIF(B26:W26,1)+COUNTIF(B26:W26,"IC")</f>
        <v>1</v>
      </c>
      <c r="Y26" s="14" t="str">
        <f aca="false">IF(COUNTIF(B26:W26,"M")&gt;0,"N/A absence longue",IF(X26&gt;=2,"Atteint","Sous objectif"))</f>
        <v>Sous objectif</v>
      </c>
    </row>
    <row r="27" customFormat="false" ht="18" hidden="false" customHeight="true" outlineLevel="0" collapsed="false">
      <c r="A27" s="13" t="s">
        <v>88</v>
      </c>
      <c r="B27" s="14"/>
      <c r="C27" s="14"/>
      <c r="D27" s="14"/>
      <c r="E27" s="15"/>
      <c r="F27" s="14"/>
      <c r="G27" s="14"/>
      <c r="H27" s="14"/>
      <c r="I27" s="14"/>
      <c r="J27" s="15"/>
      <c r="K27" s="14"/>
      <c r="L27" s="14"/>
      <c r="M27" s="14"/>
      <c r="N27" s="14"/>
      <c r="O27" s="15"/>
      <c r="P27" s="14"/>
      <c r="Q27" s="14"/>
      <c r="R27" s="16" t="n">
        <v>1</v>
      </c>
      <c r="S27" s="14"/>
      <c r="T27" s="15"/>
      <c r="U27" s="14" t="n">
        <v>1</v>
      </c>
      <c r="V27" s="14"/>
      <c r="W27" s="14"/>
      <c r="X27" s="17" t="n">
        <f aca="false">COUNTIF(B27:W27,1)+COUNTIF(B27:W27,"IC")</f>
        <v>2</v>
      </c>
      <c r="Y27" s="14" t="str">
        <f aca="false">IF(COUNTIF(B27:W27,"M")&gt;0,"N/A absence longue",IF(X27&gt;=2,"Atteint","Sous objectif"))</f>
        <v>Atteint</v>
      </c>
    </row>
    <row r="28" customFormat="false" ht="18" hidden="false" customHeight="true" outlineLevel="0" collapsed="false">
      <c r="A28" s="13" t="s">
        <v>85</v>
      </c>
      <c r="B28" s="14"/>
      <c r="C28" s="14"/>
      <c r="D28" s="14"/>
      <c r="E28" s="15"/>
      <c r="F28" s="16" t="n">
        <v>1</v>
      </c>
      <c r="G28" s="14"/>
      <c r="H28" s="14"/>
      <c r="I28" s="14"/>
      <c r="J28" s="15"/>
      <c r="K28" s="16" t="n">
        <v>1</v>
      </c>
      <c r="L28" s="14"/>
      <c r="M28" s="14"/>
      <c r="N28" s="14"/>
      <c r="O28" s="15"/>
      <c r="P28" s="14"/>
      <c r="Q28" s="14"/>
      <c r="R28" s="16" t="n">
        <v>1</v>
      </c>
      <c r="S28" s="14"/>
      <c r="T28" s="15"/>
      <c r="U28" s="14"/>
      <c r="V28" s="14"/>
      <c r="W28" s="14"/>
      <c r="X28" s="17" t="n">
        <f aca="false">COUNTIF(B28:W28,1)+COUNTIF(B28:W28,"IC")</f>
        <v>3</v>
      </c>
      <c r="Y28" s="14" t="str">
        <f aca="false">IF(COUNTIF(B28:W28,"M")&gt;0,"N/A absence longue",IF(X28&gt;=2,"Atteint","Sous objectif"))</f>
        <v>Atteint</v>
      </c>
    </row>
    <row r="29" customFormat="false" ht="18" hidden="false" customHeight="true" outlineLevel="0" collapsed="false">
      <c r="A29" s="13" t="s">
        <v>68</v>
      </c>
      <c r="B29" s="14"/>
      <c r="C29" s="14"/>
      <c r="D29" s="14"/>
      <c r="E29" s="15"/>
      <c r="F29" s="16" t="n">
        <v>1</v>
      </c>
      <c r="G29" s="14"/>
      <c r="H29" s="14"/>
      <c r="I29" s="14"/>
      <c r="J29" s="15"/>
      <c r="K29" s="16" t="n">
        <v>1</v>
      </c>
      <c r="L29" s="14"/>
      <c r="M29" s="14"/>
      <c r="N29" s="14"/>
      <c r="O29" s="15"/>
      <c r="P29" s="16" t="n">
        <v>1</v>
      </c>
      <c r="Q29" s="14"/>
      <c r="R29" s="16" t="n">
        <v>1</v>
      </c>
      <c r="S29" s="14"/>
      <c r="T29" s="15"/>
      <c r="U29" s="14"/>
      <c r="V29" s="14"/>
      <c r="W29" s="14"/>
      <c r="X29" s="17" t="n">
        <f aca="false">COUNTIF(B29:W29,1)+COUNTIF(B29:W29,"IC")</f>
        <v>4</v>
      </c>
      <c r="Y29" s="14" t="str">
        <f aca="false">IF(COUNTIF(B29:W29,"M")&gt;0,"N/A absence longue",IF(X29&gt;=2,"Atteint","Sous objectif"))</f>
        <v>Atteint</v>
      </c>
    </row>
    <row r="31" customFormat="false" ht="15.75" hidden="false" customHeight="true" outlineLevel="0" collapsed="false">
      <c r="A31" s="23" t="s">
        <v>112</v>
      </c>
    </row>
    <row r="32" customFormat="false" ht="15.75" hidden="false" customHeight="true" outlineLevel="0" collapsed="false">
      <c r="A32" s="24" t="s">
        <v>106</v>
      </c>
      <c r="B32" s="14"/>
      <c r="C32" s="14"/>
      <c r="D32" s="14"/>
      <c r="E32" s="15"/>
      <c r="F32" s="14"/>
      <c r="G32" s="14"/>
      <c r="H32" s="14"/>
      <c r="I32" s="14"/>
      <c r="J32" s="15"/>
      <c r="K32" s="14"/>
      <c r="L32" s="14"/>
      <c r="M32" s="14"/>
      <c r="N32" s="14"/>
      <c r="O32" s="15"/>
      <c r="P32" s="14"/>
      <c r="Q32" s="14"/>
      <c r="R32" s="25" t="s">
        <v>18</v>
      </c>
      <c r="S32" s="14"/>
      <c r="T32" s="15"/>
      <c r="U32" s="14"/>
      <c r="V32" s="14"/>
      <c r="W32" s="14"/>
    </row>
    <row r="33" customFormat="false" ht="15.75" hidden="false" customHeight="true" outlineLevel="0" collapsed="false">
      <c r="A33" s="24" t="s">
        <v>104</v>
      </c>
      <c r="B33" s="14"/>
      <c r="C33" s="14"/>
      <c r="D33" s="14"/>
      <c r="E33" s="15"/>
      <c r="F33" s="14"/>
      <c r="G33" s="14"/>
      <c r="H33" s="14"/>
      <c r="I33" s="14"/>
      <c r="J33" s="15"/>
      <c r="K33" s="14"/>
      <c r="L33" s="14"/>
      <c r="M33" s="14"/>
      <c r="N33" s="14"/>
      <c r="O33" s="15"/>
      <c r="P33" s="14"/>
      <c r="Q33" s="14"/>
      <c r="R33" s="14"/>
      <c r="S33" s="14"/>
      <c r="T33" s="15"/>
      <c r="U33" s="14"/>
      <c r="V33" s="14"/>
      <c r="W33" s="14"/>
    </row>
    <row r="34" customFormat="false" ht="15.75" hidden="false" customHeight="true" outlineLevel="0" collapsed="false">
      <c r="A34" s="24" t="s">
        <v>113</v>
      </c>
      <c r="B34" s="14"/>
      <c r="C34" s="14"/>
      <c r="D34" s="14"/>
      <c r="E34" s="15"/>
      <c r="F34" s="14"/>
      <c r="G34" s="14"/>
      <c r="H34" s="14"/>
      <c r="I34" s="14"/>
      <c r="J34" s="15"/>
      <c r="K34" s="14"/>
      <c r="L34" s="14"/>
      <c r="M34" s="14"/>
      <c r="N34" s="14"/>
      <c r="O34" s="15"/>
      <c r="P34" s="14"/>
      <c r="Q34" s="14"/>
      <c r="R34" s="14"/>
      <c r="S34" s="14"/>
      <c r="T34" s="15"/>
      <c r="U34" s="14"/>
      <c r="V34" s="14"/>
      <c r="W34" s="14"/>
    </row>
  </sheetData>
  <mergeCells count="1">
    <mergeCell ref="A1:Y1"/>
  </mergeCells>
  <conditionalFormatting sqref="B4:W29">
    <cfRule type="cellIs" priority="2" operator="equal" aboveAverage="0" equalAverage="0" bottom="0" percent="0" rank="0" text="" dxfId="0">
      <formula>1</formula>
    </cfRule>
    <cfRule type="cellIs" priority="3" operator="equal" aboveAverage="0" equalAverage="0" bottom="0" percent="0" rank="0" text="" dxfId="1">
      <formula>"IC"</formula>
    </cfRule>
    <cfRule type="cellIs" priority="4" operator="equal" aboveAverage="0" equalAverage="0" bottom="0" percent="0" rank="0" text="" dxfId="2">
      <formula>"M"</formula>
    </cfRule>
  </conditionalFormatting>
  <conditionalFormatting sqref="B32:W34">
    <cfRule type="cellIs" priority="5" operator="equal" aboveAverage="0" equalAverage="0" bottom="0" percent="0" rank="0" text="" dxfId="3">
      <formula>"X"</formula>
    </cfRule>
  </conditionalFormatting>
  <dataValidations count="2">
    <dataValidation allowBlank="true" error="Valeurs autorisées : X ou vide." errorStyle="stop" errorTitle="Valeur invalide" operator="between" showDropDown="false" showErrorMessage="true" showInputMessage="false" sqref="B32:W34" type="list">
      <formula1>"X"</formula1>
      <formula2>0</formula2>
    </dataValidation>
    <dataValidation allowBlank="true" error="Valeurs autorisées : 1, IC, M ou vide." errorStyle="stop" errorTitle="Valeur invalide" operator="between" showDropDown="false" showErrorMessage="true" showInputMessage="false" sqref="B4:W29" type="list">
      <formula1>"1,IC,M"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W17" activeCellId="0" sqref="W17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1" min="2" style="0" width="8"/>
    <col collapsed="false" customWidth="true" hidden="false" outlineLevel="0" max="22" min="22" style="0" width="18"/>
  </cols>
  <sheetData>
    <row r="1" customFormat="false" ht="21.75" hidden="false" customHeight="true" outlineLevel="0" collapsed="false">
      <c r="A1" s="7" t="s">
        <v>116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3" customFormat="false" ht="21.75" hidden="false" customHeight="true" outlineLevel="0" collapsed="false">
      <c r="A3" s="8" t="s">
        <v>64</v>
      </c>
      <c r="B3" s="9" t="n">
        <v>46146</v>
      </c>
      <c r="C3" s="9" t="n">
        <v>46147</v>
      </c>
      <c r="D3" s="9" t="n">
        <v>46148</v>
      </c>
      <c r="E3" s="9" t="n">
        <v>46149</v>
      </c>
      <c r="F3" s="9" t="n">
        <v>46150</v>
      </c>
      <c r="G3" s="9" t="n">
        <v>46153</v>
      </c>
      <c r="H3" s="9" t="n">
        <v>46154</v>
      </c>
      <c r="I3" s="9" t="n">
        <v>46155</v>
      </c>
      <c r="J3" s="9" t="n">
        <v>46157</v>
      </c>
      <c r="K3" s="9" t="n">
        <v>46160</v>
      </c>
      <c r="L3" s="9" t="n">
        <v>46161</v>
      </c>
      <c r="M3" s="9" t="n">
        <v>46162</v>
      </c>
      <c r="N3" s="9" t="n">
        <v>46163</v>
      </c>
      <c r="O3" s="9" t="n">
        <v>46164</v>
      </c>
      <c r="P3" s="9" t="n">
        <v>46168</v>
      </c>
      <c r="Q3" s="9" t="n">
        <v>46169</v>
      </c>
      <c r="R3" s="9" t="n">
        <v>46170</v>
      </c>
      <c r="S3" s="9" t="n">
        <v>46171</v>
      </c>
      <c r="T3" s="11" t="s">
        <v>110</v>
      </c>
      <c r="U3" s="12" t="s">
        <v>111</v>
      </c>
      <c r="V3" s="12"/>
    </row>
    <row r="4" customFormat="false" ht="18" hidden="false" customHeight="true" outlineLevel="0" collapsed="false">
      <c r="A4" s="13" t="s">
        <v>77</v>
      </c>
      <c r="B4" s="14"/>
      <c r="C4" s="14"/>
      <c r="D4" s="15" t="n">
        <v>1</v>
      </c>
      <c r="E4" s="14"/>
      <c r="F4" s="14"/>
      <c r="G4" s="14"/>
      <c r="H4" s="14"/>
      <c r="I4" s="15"/>
      <c r="J4" s="14"/>
      <c r="K4" s="14"/>
      <c r="L4" s="14" t="n">
        <v>1</v>
      </c>
      <c r="M4" s="15"/>
      <c r="N4" s="14"/>
      <c r="O4" s="14"/>
      <c r="P4" s="14"/>
      <c r="Q4" s="15"/>
      <c r="R4" s="14" t="n">
        <v>1</v>
      </c>
      <c r="S4" s="14"/>
      <c r="T4" s="17" t="n">
        <f aca="false">COUNTIF(B4:S4,1)+COUNTIF(B4:S4,"IC")</f>
        <v>3</v>
      </c>
      <c r="U4" s="14" t="str">
        <f aca="false">IF(COUNTIF(B4:S4,"M")&gt;0,"N/A absence longue",IF(T4&gt;=2,"Atteint","Sous objectif"))</f>
        <v>Atteint</v>
      </c>
      <c r="V4" s="14"/>
    </row>
    <row r="5" customFormat="false" ht="18" hidden="false" customHeight="true" outlineLevel="0" collapsed="false">
      <c r="A5" s="13" t="s">
        <v>92</v>
      </c>
      <c r="B5" s="14" t="s">
        <v>9</v>
      </c>
      <c r="C5" s="14" t="s">
        <v>9</v>
      </c>
      <c r="D5" s="15"/>
      <c r="E5" s="14" t="s">
        <v>9</v>
      </c>
      <c r="F5" s="14"/>
      <c r="G5" s="14"/>
      <c r="H5" s="14" t="s">
        <v>9</v>
      </c>
      <c r="I5" s="15"/>
      <c r="J5" s="14"/>
      <c r="K5" s="14" t="s">
        <v>9</v>
      </c>
      <c r="L5" s="14" t="s">
        <v>9</v>
      </c>
      <c r="M5" s="15"/>
      <c r="N5" s="14" t="s">
        <v>9</v>
      </c>
      <c r="O5" s="14"/>
      <c r="P5" s="14"/>
      <c r="Q5" s="15"/>
      <c r="R5" s="14" t="s">
        <v>9</v>
      </c>
      <c r="S5" s="14"/>
      <c r="T5" s="17" t="n">
        <f aca="false">COUNTIF(B5:S5,1)+COUNTIF(B5:S5,"IC")</f>
        <v>8</v>
      </c>
      <c r="U5" s="14" t="str">
        <f aca="false">IF(COUNTIF(B5:S5,"M")&gt;0,"N/A absence longue",IF(T5&gt;=2,"Atteint","Sous objectif"))</f>
        <v>Atteint</v>
      </c>
      <c r="V5" s="14"/>
    </row>
    <row r="6" customFormat="false" ht="18" hidden="false" customHeight="true" outlineLevel="0" collapsed="false">
      <c r="A6" s="13" t="s">
        <v>74</v>
      </c>
      <c r="B6" s="14"/>
      <c r="C6" s="14"/>
      <c r="D6" s="15"/>
      <c r="E6" s="14"/>
      <c r="F6" s="14"/>
      <c r="G6" s="14"/>
      <c r="H6" s="14"/>
      <c r="I6" s="15"/>
      <c r="J6" s="14"/>
      <c r="K6" s="14"/>
      <c r="L6" s="14"/>
      <c r="M6" s="15"/>
      <c r="N6" s="14"/>
      <c r="O6" s="14"/>
      <c r="P6" s="14"/>
      <c r="Q6" s="15"/>
      <c r="R6" s="14" t="n">
        <v>1</v>
      </c>
      <c r="S6" s="14"/>
      <c r="T6" s="17" t="n">
        <f aca="false">COUNTIF(B6:S6,1)+COUNTIF(B6:S6,"IC")</f>
        <v>1</v>
      </c>
      <c r="U6" s="14" t="str">
        <f aca="false">IF(COUNTIF(B6:S6,"M")&gt;0,"N/A absence longue",IF(T6&gt;=2,"Atteint","Sous objectif"))</f>
        <v>Sous objectif</v>
      </c>
      <c r="V6" s="14"/>
    </row>
    <row r="7" customFormat="false" ht="18" hidden="false" customHeight="true" outlineLevel="0" collapsed="false">
      <c r="A7" s="13" t="s">
        <v>84</v>
      </c>
      <c r="B7" s="14"/>
      <c r="C7" s="14"/>
      <c r="D7" s="15"/>
      <c r="E7" s="14"/>
      <c r="F7" s="14"/>
      <c r="G7" s="14"/>
      <c r="H7" s="14"/>
      <c r="I7" s="15"/>
      <c r="J7" s="14"/>
      <c r="K7" s="14"/>
      <c r="L7" s="14" t="n">
        <v>1</v>
      </c>
      <c r="M7" s="15"/>
      <c r="N7" s="14" t="n">
        <v>1</v>
      </c>
      <c r="O7" s="14"/>
      <c r="P7" s="14" t="n">
        <v>1</v>
      </c>
      <c r="Q7" s="15" t="n">
        <v>1</v>
      </c>
      <c r="R7" s="14" t="n">
        <v>1</v>
      </c>
      <c r="S7" s="14"/>
      <c r="T7" s="17" t="n">
        <f aca="false">COUNTIF(B7:S7,1)+COUNTIF(B7:S7,"IC")</f>
        <v>5</v>
      </c>
      <c r="U7" s="14" t="str">
        <f aca="false">IF(COUNTIF(B7:S7,"M")&gt;0,"N/A absence longue",IF(T7&gt;=2,"Atteint","Sous objectif"))</f>
        <v>Atteint</v>
      </c>
      <c r="V7" s="14"/>
    </row>
    <row r="8" customFormat="false" ht="18" hidden="false" customHeight="true" outlineLevel="0" collapsed="false">
      <c r="A8" s="13" t="s">
        <v>83</v>
      </c>
      <c r="B8" s="14" t="s">
        <v>9</v>
      </c>
      <c r="C8" s="14" t="s">
        <v>9</v>
      </c>
      <c r="D8" s="15" t="s">
        <v>9</v>
      </c>
      <c r="E8" s="14" t="s">
        <v>9</v>
      </c>
      <c r="F8" s="14"/>
      <c r="G8" s="14" t="s">
        <v>9</v>
      </c>
      <c r="H8" s="14" t="s">
        <v>9</v>
      </c>
      <c r="I8" s="15"/>
      <c r="J8" s="14" t="s">
        <v>9</v>
      </c>
      <c r="K8" s="14" t="s">
        <v>9</v>
      </c>
      <c r="L8" s="14" t="s">
        <v>9</v>
      </c>
      <c r="M8" s="15"/>
      <c r="N8" s="14" t="s">
        <v>9</v>
      </c>
      <c r="O8" s="14"/>
      <c r="P8" s="14"/>
      <c r="Q8" s="15"/>
      <c r="R8" s="14" t="n">
        <v>1</v>
      </c>
      <c r="S8" s="14"/>
      <c r="T8" s="17" t="n">
        <f aca="false">COUNTIF(B8:S8,1)+COUNTIF(B8:S8,"IC")</f>
        <v>11</v>
      </c>
      <c r="U8" s="14" t="str">
        <f aca="false">IF(COUNTIF(B8:S8,"M")&gt;0,"N/A absence longue",IF(T8&gt;=2,"Atteint","Sous objectif"))</f>
        <v>Atteint</v>
      </c>
      <c r="V8" s="14"/>
    </row>
    <row r="9" customFormat="false" ht="18" hidden="false" customHeight="true" outlineLevel="0" collapsed="false">
      <c r="A9" s="13" t="s">
        <v>71</v>
      </c>
      <c r="B9" s="14" t="s">
        <v>9</v>
      </c>
      <c r="C9" s="14"/>
      <c r="D9" s="15" t="s">
        <v>9</v>
      </c>
      <c r="E9" s="14" t="s">
        <v>9</v>
      </c>
      <c r="F9" s="14"/>
      <c r="G9" s="14" t="s">
        <v>9</v>
      </c>
      <c r="H9" s="14" t="s">
        <v>9</v>
      </c>
      <c r="I9" s="15"/>
      <c r="J9" s="14" t="s">
        <v>9</v>
      </c>
      <c r="K9" s="14" t="s">
        <v>9</v>
      </c>
      <c r="L9" s="14" t="s">
        <v>9</v>
      </c>
      <c r="M9" s="15"/>
      <c r="N9" s="14" t="s">
        <v>9</v>
      </c>
      <c r="O9" s="14"/>
      <c r="P9" s="14"/>
      <c r="Q9" s="15"/>
      <c r="R9" s="14" t="n">
        <v>1</v>
      </c>
      <c r="S9" s="14"/>
      <c r="T9" s="17" t="n">
        <f aca="false">COUNTIF(B9:S9,1)+COUNTIF(B9:S9,"IC")</f>
        <v>10</v>
      </c>
      <c r="U9" s="14" t="str">
        <f aca="false">IF(COUNTIF(B9:S9,"M")&gt;0,"N/A absence longue",IF(T9&gt;=2,"Atteint","Sous objectif"))</f>
        <v>Atteint</v>
      </c>
      <c r="V9" s="14"/>
    </row>
    <row r="10" customFormat="false" ht="18" hidden="false" customHeight="true" outlineLevel="0" collapsed="false">
      <c r="A10" s="13" t="s">
        <v>86</v>
      </c>
      <c r="B10" s="14"/>
      <c r="C10" s="14" t="n">
        <v>1</v>
      </c>
      <c r="D10" s="15"/>
      <c r="E10" s="14" t="n">
        <v>1</v>
      </c>
      <c r="F10" s="14"/>
      <c r="G10" s="14"/>
      <c r="H10" s="14" t="n">
        <v>1</v>
      </c>
      <c r="I10" s="15"/>
      <c r="J10" s="14"/>
      <c r="K10" s="14"/>
      <c r="L10" s="14" t="n">
        <v>1</v>
      </c>
      <c r="M10" s="15"/>
      <c r="N10" s="14" t="n">
        <v>1</v>
      </c>
      <c r="O10" s="14"/>
      <c r="P10" s="14"/>
      <c r="Q10" s="15"/>
      <c r="R10" s="14" t="n">
        <v>1</v>
      </c>
      <c r="S10" s="14"/>
      <c r="T10" s="17" t="n">
        <f aca="false">COUNTIF(B10:S10,1)+COUNTIF(B10:S10,"IC")</f>
        <v>6</v>
      </c>
      <c r="U10" s="14" t="str">
        <f aca="false">IF(COUNTIF(B10:S10,"M")&gt;0,"N/A absence longue",IF(T10&gt;=2,"Atteint","Sous objectif"))</f>
        <v>Atteint</v>
      </c>
      <c r="V10" s="14"/>
    </row>
    <row r="11" customFormat="false" ht="18" hidden="false" customHeight="true" outlineLevel="0" collapsed="false">
      <c r="A11" s="13" t="s">
        <v>82</v>
      </c>
      <c r="B11" s="14"/>
      <c r="C11" s="14"/>
      <c r="D11" s="15"/>
      <c r="E11" s="14"/>
      <c r="F11" s="14"/>
      <c r="G11" s="14"/>
      <c r="H11" s="14"/>
      <c r="I11" s="15"/>
      <c r="J11" s="14"/>
      <c r="K11" s="14"/>
      <c r="L11" s="14"/>
      <c r="M11" s="15"/>
      <c r="N11" s="14" t="n">
        <v>1</v>
      </c>
      <c r="O11" s="14"/>
      <c r="P11" s="14"/>
      <c r="Q11" s="15"/>
      <c r="R11" s="14"/>
      <c r="S11" s="14"/>
      <c r="T11" s="17" t="n">
        <f aca="false">COUNTIF(B11:S11,1)+COUNTIF(B11:S11,"IC")</f>
        <v>1</v>
      </c>
      <c r="U11" s="14" t="str">
        <f aca="false">IF(COUNTIF(B11:S11,"M")&gt;0,"N/A absence longue",IF(T11&gt;=2,"Atteint","Sous objectif"))</f>
        <v>Sous objectif</v>
      </c>
      <c r="V11" s="14"/>
    </row>
    <row r="12" customFormat="false" ht="18" hidden="false" customHeight="true" outlineLevel="0" collapsed="false">
      <c r="A12" s="13" t="s">
        <v>70</v>
      </c>
      <c r="B12" s="14"/>
      <c r="C12" s="14"/>
      <c r="D12" s="15"/>
      <c r="E12" s="14"/>
      <c r="F12" s="14"/>
      <c r="G12" s="14"/>
      <c r="H12" s="14"/>
      <c r="I12" s="15"/>
      <c r="J12" s="14"/>
      <c r="K12" s="14"/>
      <c r="L12" s="14"/>
      <c r="M12" s="15"/>
      <c r="N12" s="14"/>
      <c r="O12" s="14"/>
      <c r="P12" s="14"/>
      <c r="Q12" s="15"/>
      <c r="R12" s="14" t="n">
        <v>1</v>
      </c>
      <c r="S12" s="14"/>
      <c r="T12" s="17" t="n">
        <f aca="false">COUNTIF(B12:S12,1)+COUNTIF(B12:S12,"IC")</f>
        <v>1</v>
      </c>
      <c r="U12" s="14" t="str">
        <f aca="false">IF(COUNTIF(B12:S12,"M")&gt;0,"N/A absence longue",IF(T12&gt;=2,"Atteint","Sous objectif"))</f>
        <v>Sous objectif</v>
      </c>
      <c r="V12" s="14"/>
    </row>
    <row r="13" customFormat="false" ht="18" hidden="false" customHeight="true" outlineLevel="0" collapsed="false">
      <c r="A13" s="13" t="s">
        <v>67</v>
      </c>
      <c r="B13" s="14"/>
      <c r="C13" s="14"/>
      <c r="D13" s="15"/>
      <c r="E13" s="14"/>
      <c r="F13" s="14"/>
      <c r="G13" s="14"/>
      <c r="H13" s="14"/>
      <c r="I13" s="15"/>
      <c r="J13" s="14"/>
      <c r="K13" s="14"/>
      <c r="L13" s="14" t="n">
        <v>1</v>
      </c>
      <c r="M13" s="15"/>
      <c r="N13" s="14"/>
      <c r="O13" s="14"/>
      <c r="P13" s="14"/>
      <c r="Q13" s="15"/>
      <c r="R13" s="14"/>
      <c r="S13" s="14"/>
      <c r="T13" s="17" t="n">
        <f aca="false">COUNTIF(B13:S13,1)+COUNTIF(B13:S13,"IC")</f>
        <v>1</v>
      </c>
      <c r="U13" s="14" t="str">
        <f aca="false">IF(COUNTIF(B13:S13,"M")&gt;0,"N/A absence longue",IF(T13&gt;=2,"Atteint","Sous objectif"))</f>
        <v>Sous objectif</v>
      </c>
      <c r="V13" s="14"/>
    </row>
    <row r="14" customFormat="false" ht="18" hidden="false" customHeight="true" outlineLevel="0" collapsed="false">
      <c r="A14" s="13" t="s">
        <v>90</v>
      </c>
      <c r="B14" s="14"/>
      <c r="C14" s="14"/>
      <c r="D14" s="15"/>
      <c r="E14" s="14"/>
      <c r="F14" s="14"/>
      <c r="G14" s="14"/>
      <c r="H14" s="14"/>
      <c r="I14" s="15"/>
      <c r="J14" s="14"/>
      <c r="K14" s="14"/>
      <c r="L14" s="14"/>
      <c r="M14" s="15"/>
      <c r="N14" s="14"/>
      <c r="O14" s="14"/>
      <c r="P14" s="14"/>
      <c r="Q14" s="15"/>
      <c r="R14" s="14" t="n">
        <v>1</v>
      </c>
      <c r="S14" s="14"/>
      <c r="T14" s="17" t="n">
        <f aca="false">COUNTIF(B14:S14,1)+COUNTIF(B14:S14,"IC")</f>
        <v>1</v>
      </c>
      <c r="U14" s="14" t="str">
        <f aca="false">IF(COUNTIF(B14:S14,"M")&gt;0,"N/A absence longue",IF(T14&gt;=2,"Atteint","Sous objectif"))</f>
        <v>Sous objectif</v>
      </c>
      <c r="V14" s="14"/>
    </row>
    <row r="15" customFormat="false" ht="18" hidden="false" customHeight="true" outlineLevel="0" collapsed="false">
      <c r="A15" s="13" t="s">
        <v>78</v>
      </c>
      <c r="B15" s="14"/>
      <c r="C15" s="14"/>
      <c r="D15" s="15"/>
      <c r="E15" s="14"/>
      <c r="F15" s="14"/>
      <c r="G15" s="14"/>
      <c r="H15" s="14"/>
      <c r="I15" s="15" t="n">
        <v>1</v>
      </c>
      <c r="J15" s="14"/>
      <c r="K15" s="14"/>
      <c r="L15" s="14"/>
      <c r="M15" s="15"/>
      <c r="N15" s="14" t="n">
        <v>1</v>
      </c>
      <c r="O15" s="14"/>
      <c r="P15" s="14"/>
      <c r="Q15" s="15"/>
      <c r="R15" s="14" t="n">
        <v>1</v>
      </c>
      <c r="S15" s="14"/>
      <c r="T15" s="17" t="n">
        <f aca="false">COUNTIF(B15:S15,1)+COUNTIF(B15:S15,"IC")</f>
        <v>3</v>
      </c>
      <c r="U15" s="14" t="str">
        <f aca="false">IF(COUNTIF(B15:S15,"M")&gt;0,"N/A absence longue",IF(T15&gt;=2,"Atteint","Sous objectif"))</f>
        <v>Atteint</v>
      </c>
      <c r="V15" s="14"/>
    </row>
    <row r="16" customFormat="false" ht="18" hidden="false" customHeight="true" outlineLevel="0" collapsed="false">
      <c r="A16" s="13" t="s">
        <v>91</v>
      </c>
      <c r="B16" s="14"/>
      <c r="C16" s="14"/>
      <c r="D16" s="15" t="n">
        <v>1</v>
      </c>
      <c r="E16" s="14"/>
      <c r="F16" s="14"/>
      <c r="G16" s="14"/>
      <c r="H16" s="14"/>
      <c r="I16" s="15"/>
      <c r="J16" s="14"/>
      <c r="K16" s="14"/>
      <c r="L16" s="14" t="n">
        <v>1</v>
      </c>
      <c r="M16" s="15"/>
      <c r="N16" s="14"/>
      <c r="O16" s="14"/>
      <c r="P16" s="14"/>
      <c r="Q16" s="15"/>
      <c r="R16" s="14" t="n">
        <v>1</v>
      </c>
      <c r="S16" s="14"/>
      <c r="T16" s="17" t="n">
        <f aca="false">COUNTIF(B16:S16,1)+COUNTIF(B16:S16,"IC")</f>
        <v>3</v>
      </c>
      <c r="U16" s="14" t="str">
        <f aca="false">IF(COUNTIF(B16:S16,"M")&gt;0,"N/A absence longue",IF(T16&gt;=2,"Atteint","Sous objectif"))</f>
        <v>Atteint</v>
      </c>
      <c r="V16" s="14"/>
    </row>
    <row r="17" customFormat="false" ht="18" hidden="false" customHeight="true" outlineLevel="0" collapsed="false">
      <c r="A17" s="13" t="s">
        <v>75</v>
      </c>
      <c r="B17" s="14" t="s">
        <v>9</v>
      </c>
      <c r="C17" s="14"/>
      <c r="D17" s="15" t="s">
        <v>9</v>
      </c>
      <c r="E17" s="14" t="s">
        <v>9</v>
      </c>
      <c r="F17" s="14"/>
      <c r="G17" s="14" t="s">
        <v>9</v>
      </c>
      <c r="H17" s="14" t="s">
        <v>9</v>
      </c>
      <c r="I17" s="15"/>
      <c r="J17" s="14"/>
      <c r="K17" s="14"/>
      <c r="L17" s="14"/>
      <c r="M17" s="15"/>
      <c r="N17" s="14"/>
      <c r="O17" s="14"/>
      <c r="P17" s="14"/>
      <c r="Q17" s="15" t="s">
        <v>9</v>
      </c>
      <c r="R17" s="14" t="s">
        <v>9</v>
      </c>
      <c r="S17" s="14" t="s">
        <v>9</v>
      </c>
      <c r="T17" s="17" t="n">
        <f aca="false">COUNTIF(B17:S17,1)+COUNTIF(B17:S17,"IC")</f>
        <v>8</v>
      </c>
      <c r="U17" s="14" t="str">
        <f aca="false">IF(COUNTIF(B17:S17,"M")&gt;0,"N/A absence longue",IF(T17&gt;=2,"Atteint","Sous objectif"))</f>
        <v>Atteint</v>
      </c>
      <c r="V17" s="14"/>
    </row>
    <row r="18" customFormat="false" ht="18" hidden="false" customHeight="true" outlineLevel="0" collapsed="false">
      <c r="A18" s="13" t="s">
        <v>81</v>
      </c>
      <c r="B18" s="14"/>
      <c r="C18" s="14"/>
      <c r="D18" s="15"/>
      <c r="E18" s="14"/>
      <c r="F18" s="14"/>
      <c r="G18" s="14"/>
      <c r="H18" s="14"/>
      <c r="I18" s="15"/>
      <c r="J18" s="14"/>
      <c r="K18" s="14"/>
      <c r="L18" s="14"/>
      <c r="M18" s="15"/>
      <c r="N18" s="14"/>
      <c r="O18" s="14"/>
      <c r="P18" s="14"/>
      <c r="Q18" s="15"/>
      <c r="R18" s="14" t="n">
        <v>1</v>
      </c>
      <c r="S18" s="14"/>
      <c r="T18" s="17" t="n">
        <f aca="false">COUNTIF(B18:S18,1)+COUNTIF(B18:S18,"IC")</f>
        <v>1</v>
      </c>
      <c r="U18" s="14" t="str">
        <f aca="false">IF(COUNTIF(B18:S18,"M")&gt;0,"N/A absence longue",IF(T18&gt;=2,"Atteint","Sous objectif"))</f>
        <v>Sous objectif</v>
      </c>
      <c r="V18" s="14"/>
    </row>
    <row r="19" customFormat="false" ht="18" hidden="false" customHeight="true" outlineLevel="0" collapsed="false">
      <c r="A19" s="13" t="s">
        <v>89</v>
      </c>
      <c r="B19" s="14"/>
      <c r="C19" s="14"/>
      <c r="D19" s="15"/>
      <c r="E19" s="14"/>
      <c r="F19" s="14"/>
      <c r="G19" s="14"/>
      <c r="H19" s="14"/>
      <c r="I19" s="15"/>
      <c r="J19" s="14"/>
      <c r="K19" s="14"/>
      <c r="L19" s="14" t="n">
        <v>1</v>
      </c>
      <c r="M19" s="15"/>
      <c r="N19" s="14"/>
      <c r="O19" s="14"/>
      <c r="P19" s="14"/>
      <c r="Q19" s="15"/>
      <c r="R19" s="14" t="n">
        <v>1</v>
      </c>
      <c r="S19" s="14"/>
      <c r="T19" s="17" t="n">
        <f aca="false">COUNTIF(B19:S19,1)+COUNTIF(B19:S19,"IC")</f>
        <v>2</v>
      </c>
      <c r="U19" s="14" t="str">
        <f aca="false">IF(COUNTIF(B19:S19,"M")&gt;0,"N/A absence longue",IF(T19&gt;=2,"Atteint","Sous objectif"))</f>
        <v>Atteint</v>
      </c>
      <c r="V19" s="14"/>
    </row>
    <row r="20" customFormat="false" ht="18" hidden="false" customHeight="true" outlineLevel="0" collapsed="false">
      <c r="A20" s="13" t="s">
        <v>80</v>
      </c>
      <c r="B20" s="14"/>
      <c r="C20" s="14"/>
      <c r="D20" s="15"/>
      <c r="E20" s="14"/>
      <c r="F20" s="14"/>
      <c r="G20" s="14"/>
      <c r="H20" s="14"/>
      <c r="I20" s="15"/>
      <c r="J20" s="14"/>
      <c r="K20" s="14"/>
      <c r="L20" s="14"/>
      <c r="M20" s="15"/>
      <c r="N20" s="14"/>
      <c r="O20" s="14"/>
      <c r="P20" s="14"/>
      <c r="Q20" s="15"/>
      <c r="R20" s="14" t="n">
        <v>1</v>
      </c>
      <c r="S20" s="14"/>
      <c r="T20" s="17" t="n">
        <f aca="false">COUNTIF(B20:S20,1)+COUNTIF(B20:S20,"IC")</f>
        <v>1</v>
      </c>
      <c r="U20" s="14" t="str">
        <f aca="false">IF(COUNTIF(B20:S20,"M")&gt;0,"N/A absence longue",IF(T20&gt;=2,"Atteint","Sous objectif"))</f>
        <v>Sous objectif</v>
      </c>
      <c r="V20" s="14"/>
    </row>
    <row r="21" customFormat="false" ht="18" hidden="false" customHeight="true" outlineLevel="0" collapsed="false">
      <c r="A21" s="13" t="s">
        <v>72</v>
      </c>
      <c r="B21" s="14"/>
      <c r="C21" s="14"/>
      <c r="D21" s="15"/>
      <c r="E21" s="14" t="n">
        <v>1</v>
      </c>
      <c r="F21" s="14"/>
      <c r="G21" s="14"/>
      <c r="H21" s="14"/>
      <c r="I21" s="15"/>
      <c r="J21" s="14"/>
      <c r="K21" s="14"/>
      <c r="L21" s="14" t="n">
        <v>1</v>
      </c>
      <c r="M21" s="15" t="n">
        <v>1</v>
      </c>
      <c r="N21" s="14"/>
      <c r="O21" s="14" t="n">
        <v>1</v>
      </c>
      <c r="P21" s="14"/>
      <c r="Q21" s="15"/>
      <c r="R21" s="14" t="n">
        <v>1</v>
      </c>
      <c r="S21" s="14"/>
      <c r="T21" s="17" t="n">
        <f aca="false">COUNTIF(B21:S21,1)+COUNTIF(B21:S21,"IC")</f>
        <v>5</v>
      </c>
      <c r="U21" s="14" t="str">
        <f aca="false">IF(COUNTIF(B21:S21,"M")&gt;0,"N/A absence longue",IF(T21&gt;=2,"Atteint","Sous objectif"))</f>
        <v>Atteint</v>
      </c>
      <c r="V21" s="14"/>
    </row>
    <row r="22" customFormat="false" ht="18" hidden="false" customHeight="true" outlineLevel="0" collapsed="false">
      <c r="A22" s="13" t="s">
        <v>73</v>
      </c>
      <c r="B22" s="14"/>
      <c r="C22" s="14"/>
      <c r="D22" s="15"/>
      <c r="E22" s="14"/>
      <c r="F22" s="14"/>
      <c r="G22" s="14"/>
      <c r="H22" s="14"/>
      <c r="I22" s="15"/>
      <c r="J22" s="14"/>
      <c r="K22" s="14"/>
      <c r="L22" s="14"/>
      <c r="M22" s="15"/>
      <c r="N22" s="14"/>
      <c r="O22" s="14"/>
      <c r="P22" s="14"/>
      <c r="Q22" s="15"/>
      <c r="R22" s="14"/>
      <c r="S22" s="14"/>
      <c r="T22" s="17" t="n">
        <f aca="false">COUNTIF(B22:S22,1)+COUNTIF(B22:S22,"IC")</f>
        <v>0</v>
      </c>
      <c r="U22" s="14" t="str">
        <f aca="false">IF(COUNTIF(B22:S22,"M")&gt;0,"N/A absence longue",IF(T22&gt;=2,"Atteint","Sous objectif"))</f>
        <v>Sous objectif</v>
      </c>
      <c r="V22" s="14"/>
    </row>
    <row r="23" customFormat="false" ht="18" hidden="false" customHeight="true" outlineLevel="0" collapsed="false">
      <c r="A23" s="13" t="s">
        <v>69</v>
      </c>
      <c r="B23" s="14"/>
      <c r="C23" s="14"/>
      <c r="D23" s="15" t="n">
        <v>1</v>
      </c>
      <c r="E23" s="14"/>
      <c r="F23" s="14"/>
      <c r="G23" s="14"/>
      <c r="H23" s="14"/>
      <c r="I23" s="15"/>
      <c r="J23" s="14"/>
      <c r="K23" s="14"/>
      <c r="L23" s="14"/>
      <c r="M23" s="15"/>
      <c r="N23" s="14"/>
      <c r="O23" s="14"/>
      <c r="P23" s="14"/>
      <c r="Q23" s="15"/>
      <c r="R23" s="14" t="n">
        <v>1</v>
      </c>
      <c r="S23" s="14"/>
      <c r="T23" s="17" t="n">
        <f aca="false">COUNTIF(B23:S23,1)+COUNTIF(B23:S23,"IC")</f>
        <v>2</v>
      </c>
      <c r="U23" s="14" t="str">
        <f aca="false">IF(COUNTIF(B23:S23,"M")&gt;0,"N/A absence longue",IF(T23&gt;=2,"Atteint","Sous objectif"))</f>
        <v>Atteint</v>
      </c>
      <c r="V23" s="14"/>
    </row>
    <row r="24" customFormat="false" ht="18" hidden="false" customHeight="true" outlineLevel="0" collapsed="false">
      <c r="A24" s="13" t="s">
        <v>76</v>
      </c>
      <c r="B24" s="14"/>
      <c r="C24" s="14"/>
      <c r="D24" s="15"/>
      <c r="E24" s="14"/>
      <c r="F24" s="14"/>
      <c r="G24" s="14"/>
      <c r="H24" s="14"/>
      <c r="I24" s="15"/>
      <c r="J24" s="14"/>
      <c r="K24" s="14"/>
      <c r="L24" s="14"/>
      <c r="M24" s="15"/>
      <c r="N24" s="14"/>
      <c r="O24" s="14"/>
      <c r="P24" s="14"/>
      <c r="Q24" s="15"/>
      <c r="R24" s="14" t="n">
        <v>1</v>
      </c>
      <c r="S24" s="14"/>
      <c r="T24" s="17" t="n">
        <f aca="false">COUNTIF(B24:S24,1)+COUNTIF(B24:S24,"IC")</f>
        <v>1</v>
      </c>
      <c r="U24" s="14" t="str">
        <f aca="false">IF(COUNTIF(B24:S24,"M")&gt;0,"N/A absence longue",IF(T24&gt;=2,"Atteint","Sous objectif"))</f>
        <v>Sous objectif</v>
      </c>
      <c r="V24" s="14"/>
    </row>
    <row r="25" customFormat="false" ht="18" hidden="false" customHeight="true" outlineLevel="0" collapsed="false">
      <c r="A25" s="13" t="s">
        <v>79</v>
      </c>
      <c r="B25" s="14"/>
      <c r="C25" s="14"/>
      <c r="D25" s="15" t="n">
        <v>1</v>
      </c>
      <c r="E25" s="14"/>
      <c r="F25" s="14"/>
      <c r="G25" s="14"/>
      <c r="H25" s="14"/>
      <c r="I25" s="15"/>
      <c r="J25" s="14"/>
      <c r="K25" s="14"/>
      <c r="L25" s="14"/>
      <c r="M25" s="15" t="n">
        <v>1</v>
      </c>
      <c r="N25" s="14"/>
      <c r="O25" s="14"/>
      <c r="P25" s="14"/>
      <c r="Q25" s="15"/>
      <c r="R25" s="14" t="n">
        <v>1</v>
      </c>
      <c r="S25" s="14"/>
      <c r="T25" s="17" t="n">
        <f aca="false">COUNTIF(B25:S25,1)+COUNTIF(B25:S25,"IC")</f>
        <v>3</v>
      </c>
      <c r="U25" s="14" t="str">
        <f aca="false">IF(COUNTIF(B25:S25,"M")&gt;0,"N/A absence longue",IF(T25&gt;=2,"Atteint","Sous objectif"))</f>
        <v>Atteint</v>
      </c>
      <c r="V25" s="14"/>
    </row>
    <row r="26" customFormat="false" ht="18" hidden="false" customHeight="true" outlineLevel="0" collapsed="false">
      <c r="A26" s="13" t="s">
        <v>87</v>
      </c>
      <c r="B26" s="14"/>
      <c r="C26" s="14"/>
      <c r="D26" s="15"/>
      <c r="E26" s="14"/>
      <c r="F26" s="14"/>
      <c r="G26" s="14"/>
      <c r="H26" s="14"/>
      <c r="I26" s="15"/>
      <c r="J26" s="14"/>
      <c r="K26" s="14"/>
      <c r="L26" s="14"/>
      <c r="M26" s="15"/>
      <c r="N26" s="14"/>
      <c r="O26" s="14"/>
      <c r="P26" s="14"/>
      <c r="Q26" s="15"/>
      <c r="R26" s="14"/>
      <c r="S26" s="14"/>
      <c r="T26" s="17" t="n">
        <f aca="false">COUNTIF(B26:S26,1)+COUNTIF(B26:S26,"IC")</f>
        <v>0</v>
      </c>
      <c r="U26" s="14" t="str">
        <f aca="false">IF(COUNTIF(B26:S26,"M")&gt;0,"N/A absence longue",IF(T26&gt;=2,"Atteint","Sous objectif"))</f>
        <v>Sous objectif</v>
      </c>
      <c r="V26" s="14"/>
    </row>
    <row r="27" customFormat="false" ht="18" hidden="false" customHeight="true" outlineLevel="0" collapsed="false">
      <c r="A27" s="13" t="s">
        <v>88</v>
      </c>
      <c r="B27" s="14"/>
      <c r="C27" s="14"/>
      <c r="D27" s="15" t="n">
        <v>1</v>
      </c>
      <c r="E27" s="14"/>
      <c r="F27" s="14"/>
      <c r="G27" s="14"/>
      <c r="H27" s="14"/>
      <c r="I27" s="15"/>
      <c r="J27" s="14"/>
      <c r="K27" s="14"/>
      <c r="L27" s="14"/>
      <c r="M27" s="15"/>
      <c r="N27" s="14"/>
      <c r="O27" s="14"/>
      <c r="P27" s="14"/>
      <c r="Q27" s="15"/>
      <c r="R27" s="14" t="n">
        <v>1</v>
      </c>
      <c r="S27" s="14"/>
      <c r="T27" s="17" t="n">
        <f aca="false">COUNTIF(B27:S27,1)+COUNTIF(B27:S27,"IC")</f>
        <v>2</v>
      </c>
      <c r="U27" s="14" t="str">
        <f aca="false">IF(COUNTIF(B27:S27,"M")&gt;0,"N/A absence longue",IF(T27&gt;=2,"Atteint","Sous objectif"))</f>
        <v>Atteint</v>
      </c>
      <c r="V27" s="14"/>
    </row>
    <row r="28" customFormat="false" ht="18" hidden="false" customHeight="true" outlineLevel="0" collapsed="false">
      <c r="A28" s="13" t="s">
        <v>85</v>
      </c>
      <c r="B28" s="14"/>
      <c r="C28" s="14"/>
      <c r="D28" s="15"/>
      <c r="E28" s="14"/>
      <c r="F28" s="14"/>
      <c r="G28" s="14"/>
      <c r="H28" s="14"/>
      <c r="I28" s="15"/>
      <c r="J28" s="14"/>
      <c r="K28" s="14"/>
      <c r="L28" s="14" t="n">
        <v>1</v>
      </c>
      <c r="M28" s="15"/>
      <c r="N28" s="14"/>
      <c r="O28" s="14"/>
      <c r="P28" s="14"/>
      <c r="Q28" s="15"/>
      <c r="R28" s="14"/>
      <c r="S28" s="14"/>
      <c r="T28" s="17" t="n">
        <f aca="false">COUNTIF(B28:S28,1)+COUNTIF(B28:S28,"IC")</f>
        <v>1</v>
      </c>
      <c r="U28" s="14" t="str">
        <f aca="false">IF(COUNTIF(B28:S28,"M")&gt;0,"N/A absence longue",IF(T28&gt;=2,"Atteint","Sous objectif"))</f>
        <v>Sous objectif</v>
      </c>
      <c r="V28" s="14"/>
    </row>
    <row r="29" customFormat="false" ht="18" hidden="false" customHeight="true" outlineLevel="0" collapsed="false">
      <c r="A29" s="13" t="s">
        <v>68</v>
      </c>
      <c r="B29" s="14"/>
      <c r="C29" s="14"/>
      <c r="D29" s="15"/>
      <c r="E29" s="14"/>
      <c r="F29" s="14"/>
      <c r="G29" s="14"/>
      <c r="H29" s="14"/>
      <c r="I29" s="15"/>
      <c r="J29" s="14"/>
      <c r="K29" s="14"/>
      <c r="L29" s="14"/>
      <c r="M29" s="15"/>
      <c r="N29" s="14"/>
      <c r="O29" s="14"/>
      <c r="P29" s="14"/>
      <c r="Q29" s="15"/>
      <c r="R29" s="14" t="n">
        <v>1</v>
      </c>
      <c r="S29" s="14"/>
      <c r="T29" s="17" t="n">
        <f aca="false">COUNTIF(B29:S29,1)+COUNTIF(B29:S29,"IC")</f>
        <v>1</v>
      </c>
      <c r="U29" s="14" t="str">
        <f aca="false">IF(COUNTIF(B29:S29,"M")&gt;0,"N/A absence longue",IF(T29&gt;=2,"Atteint","Sous objectif"))</f>
        <v>Sous objectif</v>
      </c>
      <c r="V29" s="14"/>
    </row>
    <row r="31" customFormat="false" ht="15.75" hidden="false" customHeight="true" outlineLevel="0" collapsed="false">
      <c r="A31" s="23" t="s">
        <v>112</v>
      </c>
    </row>
    <row r="32" customFormat="false" ht="15.75" hidden="false" customHeight="true" outlineLevel="0" collapsed="false">
      <c r="A32" s="24" t="s">
        <v>106</v>
      </c>
      <c r="B32" s="14"/>
      <c r="C32" s="14"/>
      <c r="D32" s="15"/>
      <c r="E32" s="14"/>
      <c r="F32" s="14"/>
      <c r="G32" s="14"/>
      <c r="H32" s="14"/>
      <c r="I32" s="15"/>
      <c r="J32" s="14"/>
      <c r="K32" s="14"/>
      <c r="L32" s="14"/>
      <c r="M32" s="15"/>
      <c r="N32" s="14"/>
      <c r="O32" s="14"/>
      <c r="P32" s="14"/>
      <c r="Q32" s="15"/>
      <c r="R32" s="14" t="s">
        <v>18</v>
      </c>
      <c r="S32" s="14"/>
      <c r="T32" s="14"/>
    </row>
    <row r="33" customFormat="false" ht="15.75" hidden="false" customHeight="true" outlineLevel="0" collapsed="false">
      <c r="A33" s="24" t="s">
        <v>104</v>
      </c>
      <c r="B33" s="14"/>
      <c r="C33" s="14"/>
      <c r="D33" s="15" t="s">
        <v>18</v>
      </c>
      <c r="E33" s="14"/>
      <c r="F33" s="14"/>
      <c r="G33" s="14"/>
      <c r="H33" s="14"/>
      <c r="I33" s="15"/>
      <c r="J33" s="14"/>
      <c r="K33" s="14"/>
      <c r="L33" s="14"/>
      <c r="M33" s="15"/>
      <c r="N33" s="14"/>
      <c r="O33" s="14"/>
      <c r="P33" s="14"/>
      <c r="Q33" s="15"/>
      <c r="R33" s="14"/>
      <c r="S33" s="14"/>
      <c r="T33" s="14"/>
    </row>
    <row r="34" customFormat="false" ht="15.75" hidden="false" customHeight="true" outlineLevel="0" collapsed="false">
      <c r="A34" s="24" t="s">
        <v>113</v>
      </c>
      <c r="B34" s="14"/>
      <c r="C34" s="14"/>
      <c r="D34" s="15"/>
      <c r="E34" s="14"/>
      <c r="F34" s="14"/>
      <c r="G34" s="14"/>
      <c r="H34" s="14"/>
      <c r="I34" s="15"/>
      <c r="J34" s="14"/>
      <c r="K34" s="14"/>
      <c r="L34" s="14"/>
      <c r="M34" s="15"/>
      <c r="N34" s="14"/>
      <c r="O34" s="14"/>
      <c r="P34" s="14"/>
      <c r="Q34" s="15"/>
      <c r="R34" s="14"/>
      <c r="S34" s="14"/>
      <c r="T34" s="14"/>
    </row>
  </sheetData>
  <mergeCells count="1">
    <mergeCell ref="A1:U1"/>
  </mergeCells>
  <conditionalFormatting sqref="B4:S29">
    <cfRule type="cellIs" priority="2" operator="equal" aboveAverage="0" equalAverage="0" bottom="0" percent="0" rank="0" text="" dxfId="0">
      <formula>1</formula>
    </cfRule>
    <cfRule type="cellIs" priority="3" operator="equal" aboveAverage="0" equalAverage="0" bottom="0" percent="0" rank="0" text="" dxfId="1">
      <formula>"IC"</formula>
    </cfRule>
    <cfRule type="cellIs" priority="4" operator="equal" aboveAverage="0" equalAverage="0" bottom="0" percent="0" rank="0" text="" dxfId="2">
      <formula>"M"</formula>
    </cfRule>
  </conditionalFormatting>
  <conditionalFormatting sqref="B32:S34">
    <cfRule type="cellIs" priority="5" operator="equal" aboveAverage="0" equalAverage="0" bottom="0" percent="0" rank="0" text="" dxfId="3">
      <formula>"X"</formula>
    </cfRule>
  </conditionalFormatting>
  <dataValidations count="2">
    <dataValidation allowBlank="true" errorStyle="stop" operator="between" showDropDown="false" showErrorMessage="false" showInputMessage="false" sqref="B4:S29" type="list">
      <formula1>"1,IC,M"</formula1>
      <formula2>0</formula2>
    </dataValidation>
    <dataValidation allowBlank="true" errorStyle="stop" operator="between" showDropDown="false" showErrorMessage="false" showInputMessage="false" sqref="B32:S34" type="list">
      <formula1>"X"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4" min="2" style="0" width="8"/>
    <col collapsed="false" customWidth="true" hidden="false" outlineLevel="0" max="25" min="25" style="0" width="18"/>
  </cols>
  <sheetData>
    <row r="1" customFormat="false" ht="21.75" hidden="false" customHeight="true" outlineLevel="0" collapsed="false">
      <c r="A1" s="7" t="s">
        <v>117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3" customFormat="false" ht="21.75" hidden="false" customHeight="true" outlineLevel="0" collapsed="false">
      <c r="A3" s="8" t="s">
        <v>64</v>
      </c>
      <c r="B3" s="9" t="n">
        <v>46174</v>
      </c>
      <c r="C3" s="9" t="n">
        <v>46175</v>
      </c>
      <c r="D3" s="9" t="n">
        <v>46176</v>
      </c>
      <c r="E3" s="9" t="n">
        <v>46177</v>
      </c>
      <c r="F3" s="9" t="n">
        <v>46178</v>
      </c>
      <c r="G3" s="9" t="n">
        <v>46181</v>
      </c>
      <c r="H3" s="9" t="n">
        <v>46182</v>
      </c>
      <c r="I3" s="9" t="n">
        <v>46183</v>
      </c>
      <c r="J3" s="9" t="n">
        <v>46184</v>
      </c>
      <c r="K3" s="9" t="n">
        <v>46185</v>
      </c>
      <c r="L3" s="9" t="n">
        <v>46188</v>
      </c>
      <c r="M3" s="9" t="n">
        <v>46189</v>
      </c>
      <c r="N3" s="9" t="n">
        <v>46190</v>
      </c>
      <c r="O3" s="9" t="n">
        <v>46191</v>
      </c>
      <c r="P3" s="9" t="n">
        <v>46192</v>
      </c>
      <c r="Q3" s="9" t="n">
        <v>46195</v>
      </c>
      <c r="R3" s="9" t="n">
        <v>46196</v>
      </c>
      <c r="S3" s="9" t="n">
        <v>46197</v>
      </c>
      <c r="T3" s="9" t="n">
        <v>46198</v>
      </c>
      <c r="U3" s="9" t="n">
        <v>46199</v>
      </c>
      <c r="V3" s="9" t="n">
        <v>46202</v>
      </c>
      <c r="W3" s="9" t="n">
        <v>46203</v>
      </c>
      <c r="X3" s="11" t="s">
        <v>110</v>
      </c>
      <c r="Y3" s="12" t="s">
        <v>111</v>
      </c>
    </row>
    <row r="4" customFormat="false" ht="18" hidden="false" customHeight="true" outlineLevel="0" collapsed="false">
      <c r="A4" s="13" t="s">
        <v>77</v>
      </c>
      <c r="B4" s="14"/>
      <c r="C4" s="14"/>
      <c r="D4" s="14"/>
      <c r="E4" s="15"/>
      <c r="F4" s="14"/>
      <c r="G4" s="14"/>
      <c r="H4" s="14"/>
      <c r="I4" s="14"/>
      <c r="J4" s="15"/>
      <c r="K4" s="14"/>
      <c r="L4" s="14"/>
      <c r="M4" s="14"/>
      <c r="N4" s="14"/>
      <c r="O4" s="15"/>
      <c r="P4" s="14"/>
      <c r="Q4" s="14"/>
      <c r="R4" s="14"/>
      <c r="S4" s="14"/>
      <c r="T4" s="15"/>
      <c r="U4" s="14"/>
      <c r="V4" s="14"/>
      <c r="W4" s="14"/>
      <c r="X4" s="17" t="n">
        <f aca="false">COUNTIF(B4:W4,1)+COUNTIF(B4:W4,"IC")</f>
        <v>0</v>
      </c>
      <c r="Y4" s="14" t="str">
        <f aca="false">IF(COUNTIF(B4:W4,"M")&gt;0,"N/A absence longue",IF(X4&gt;=2,"Atteint","Sous objectif"))</f>
        <v>Sous objectif</v>
      </c>
    </row>
    <row r="5" customFormat="false" ht="18" hidden="false" customHeight="true" outlineLevel="0" collapsed="false">
      <c r="A5" s="13" t="s">
        <v>92</v>
      </c>
      <c r="B5" s="14" t="s">
        <v>9</v>
      </c>
      <c r="C5" s="14"/>
      <c r="D5" s="14"/>
      <c r="E5" s="15"/>
      <c r="F5" s="14"/>
      <c r="G5" s="14"/>
      <c r="H5" s="14"/>
      <c r="I5" s="14"/>
      <c r="J5" s="15"/>
      <c r="K5" s="14"/>
      <c r="L5" s="14"/>
      <c r="M5" s="14"/>
      <c r="N5" s="14"/>
      <c r="O5" s="15"/>
      <c r="P5" s="14"/>
      <c r="Q5" s="14"/>
      <c r="R5" s="14"/>
      <c r="S5" s="14"/>
      <c r="T5" s="15"/>
      <c r="U5" s="14"/>
      <c r="V5" s="14"/>
      <c r="W5" s="14"/>
      <c r="X5" s="17" t="n">
        <f aca="false">COUNTIF(B5:W5,1)+COUNTIF(B5:W5,"IC")</f>
        <v>1</v>
      </c>
      <c r="Y5" s="14" t="str">
        <f aca="false">IF(COUNTIF(B5:W5,"M")&gt;0,"N/A absence longue",IF(X5&gt;=2,"Atteint","Sous objectif"))</f>
        <v>Sous objectif</v>
      </c>
    </row>
    <row r="6" customFormat="false" ht="18" hidden="false" customHeight="true" outlineLevel="0" collapsed="false">
      <c r="A6" s="13" t="s">
        <v>74</v>
      </c>
      <c r="B6" s="14"/>
      <c r="C6" s="14"/>
      <c r="D6" s="14"/>
      <c r="E6" s="15"/>
      <c r="F6" s="14"/>
      <c r="G6" s="14"/>
      <c r="H6" s="14"/>
      <c r="I6" s="14"/>
      <c r="J6" s="15"/>
      <c r="K6" s="14"/>
      <c r="L6" s="14"/>
      <c r="M6" s="14"/>
      <c r="N6" s="14"/>
      <c r="O6" s="15"/>
      <c r="P6" s="14"/>
      <c r="Q6" s="14"/>
      <c r="R6" s="14"/>
      <c r="S6" s="14"/>
      <c r="T6" s="15"/>
      <c r="U6" s="14"/>
      <c r="V6" s="14"/>
      <c r="W6" s="14"/>
      <c r="X6" s="17" t="n">
        <f aca="false">COUNTIF(B6:W6,1)+COUNTIF(B6:W6,"IC")</f>
        <v>0</v>
      </c>
      <c r="Y6" s="14" t="str">
        <f aca="false">IF(COUNTIF(B6:W6,"M")&gt;0,"N/A absence longue",IF(X6&gt;=2,"Atteint","Sous objectif"))</f>
        <v>Sous objectif</v>
      </c>
    </row>
    <row r="7" customFormat="false" ht="18" hidden="false" customHeight="true" outlineLevel="0" collapsed="false">
      <c r="A7" s="13" t="s">
        <v>84</v>
      </c>
      <c r="B7" s="14"/>
      <c r="C7" s="14"/>
      <c r="D7" s="14"/>
      <c r="E7" s="15"/>
      <c r="F7" s="14"/>
      <c r="G7" s="14"/>
      <c r="H7" s="14"/>
      <c r="I7" s="14"/>
      <c r="J7" s="15"/>
      <c r="K7" s="14"/>
      <c r="L7" s="14"/>
      <c r="M7" s="14"/>
      <c r="N7" s="14"/>
      <c r="O7" s="15"/>
      <c r="P7" s="14"/>
      <c r="Q7" s="14"/>
      <c r="R7" s="14"/>
      <c r="S7" s="14"/>
      <c r="T7" s="15"/>
      <c r="U7" s="14"/>
      <c r="V7" s="14"/>
      <c r="W7" s="14"/>
      <c r="X7" s="17" t="n">
        <f aca="false">COUNTIF(B7:W7,1)+COUNTIF(B7:W7,"IC")</f>
        <v>0</v>
      </c>
      <c r="Y7" s="14" t="str">
        <f aca="false">IF(COUNTIF(B7:W7,"M")&gt;0,"N/A absence longue",IF(X7&gt;=2,"Atteint","Sous objectif"))</f>
        <v>Sous objectif</v>
      </c>
    </row>
    <row r="8" customFormat="false" ht="18" hidden="false" customHeight="true" outlineLevel="0" collapsed="false">
      <c r="A8" s="13" t="s">
        <v>118</v>
      </c>
      <c r="B8" s="14"/>
      <c r="C8" s="14"/>
      <c r="D8" s="14"/>
      <c r="E8" s="15"/>
      <c r="F8" s="14"/>
      <c r="G8" s="14"/>
      <c r="H8" s="14"/>
      <c r="I8" s="14"/>
      <c r="J8" s="15"/>
      <c r="K8" s="14"/>
      <c r="L8" s="14"/>
      <c r="M8" s="14"/>
      <c r="N8" s="14"/>
      <c r="O8" s="15"/>
      <c r="P8" s="14"/>
      <c r="Q8" s="14"/>
      <c r="R8" s="14"/>
      <c r="S8" s="14"/>
      <c r="T8" s="15"/>
      <c r="U8" s="14"/>
      <c r="V8" s="14"/>
      <c r="W8" s="14"/>
      <c r="X8" s="17"/>
      <c r="Y8" s="14"/>
    </row>
    <row r="9" customFormat="false" ht="18" hidden="false" customHeight="true" outlineLevel="0" collapsed="false">
      <c r="A9" s="13" t="s">
        <v>83</v>
      </c>
      <c r="B9" s="14"/>
      <c r="C9" s="14"/>
      <c r="D9" s="14"/>
      <c r="E9" s="15"/>
      <c r="F9" s="14"/>
      <c r="G9" s="14"/>
      <c r="H9" s="14"/>
      <c r="I9" s="14"/>
      <c r="J9" s="15"/>
      <c r="K9" s="14"/>
      <c r="L9" s="14"/>
      <c r="M9" s="14"/>
      <c r="N9" s="14"/>
      <c r="O9" s="15"/>
      <c r="P9" s="14"/>
      <c r="Q9" s="14"/>
      <c r="R9" s="14"/>
      <c r="S9" s="14"/>
      <c r="T9" s="15"/>
      <c r="U9" s="14"/>
      <c r="V9" s="14"/>
      <c r="W9" s="14"/>
      <c r="X9" s="17" t="n">
        <f aca="false">COUNTIF(B9:W9,1)+COUNTIF(B9:W9,"IC")</f>
        <v>0</v>
      </c>
      <c r="Y9" s="14" t="str">
        <f aca="false">IF(COUNTIF(B9:W9,"M")&gt;0,"N/A absence longue",IF(X9&gt;=2,"Atteint","Sous objectif"))</f>
        <v>Sous objectif</v>
      </c>
    </row>
    <row r="10" customFormat="false" ht="18" hidden="false" customHeight="true" outlineLevel="0" collapsed="false">
      <c r="A10" s="13" t="s">
        <v>71</v>
      </c>
      <c r="B10" s="14" t="n">
        <v>1</v>
      </c>
      <c r="C10" s="14"/>
      <c r="D10" s="14"/>
      <c r="E10" s="15"/>
      <c r="F10" s="14"/>
      <c r="G10" s="14"/>
      <c r="H10" s="14"/>
      <c r="I10" s="14"/>
      <c r="J10" s="15"/>
      <c r="K10" s="14"/>
      <c r="L10" s="14"/>
      <c r="M10" s="14"/>
      <c r="N10" s="14"/>
      <c r="O10" s="15"/>
      <c r="P10" s="14"/>
      <c r="Q10" s="14"/>
      <c r="R10" s="14"/>
      <c r="S10" s="14"/>
      <c r="T10" s="15"/>
      <c r="U10" s="14"/>
      <c r="V10" s="14"/>
      <c r="W10" s="14"/>
      <c r="X10" s="17" t="n">
        <f aca="false">COUNTIF(B10:W10,1)+COUNTIF(B10:W10,"IC")</f>
        <v>1</v>
      </c>
      <c r="Y10" s="14" t="str">
        <f aca="false">IF(COUNTIF(B10:W10,"M")&gt;0,"N/A absence longue",IF(X10&gt;=2,"Atteint","Sous objectif"))</f>
        <v>Sous objectif</v>
      </c>
    </row>
    <row r="11" customFormat="false" ht="18" hidden="false" customHeight="true" outlineLevel="0" collapsed="false">
      <c r="A11" s="13" t="s">
        <v>86</v>
      </c>
      <c r="B11" s="14"/>
      <c r="C11" s="14"/>
      <c r="D11" s="14"/>
      <c r="E11" s="15"/>
      <c r="F11" s="14"/>
      <c r="G11" s="14"/>
      <c r="H11" s="14"/>
      <c r="I11" s="14"/>
      <c r="J11" s="15"/>
      <c r="K11" s="14"/>
      <c r="L11" s="14"/>
      <c r="M11" s="14"/>
      <c r="N11" s="14"/>
      <c r="O11" s="15"/>
      <c r="P11" s="14"/>
      <c r="Q11" s="14"/>
      <c r="R11" s="14"/>
      <c r="S11" s="14"/>
      <c r="T11" s="15"/>
      <c r="U11" s="14"/>
      <c r="V11" s="14"/>
      <c r="W11" s="14"/>
      <c r="X11" s="17" t="n">
        <f aca="false">COUNTIF(B11:W11,1)+COUNTIF(B11:W11,"IC")</f>
        <v>0</v>
      </c>
      <c r="Y11" s="14" t="str">
        <f aca="false">IF(COUNTIF(B11:W11,"M")&gt;0,"N/A absence longue",IF(X11&gt;=2,"Atteint","Sous objectif"))</f>
        <v>Sous objectif</v>
      </c>
    </row>
    <row r="12" customFormat="false" ht="18" hidden="false" customHeight="true" outlineLevel="0" collapsed="false">
      <c r="A12" s="13" t="s">
        <v>82</v>
      </c>
      <c r="B12" s="14"/>
      <c r="C12" s="14"/>
      <c r="D12" s="14"/>
      <c r="E12" s="15"/>
      <c r="F12" s="14"/>
      <c r="G12" s="14"/>
      <c r="H12" s="14"/>
      <c r="I12" s="14"/>
      <c r="J12" s="15"/>
      <c r="K12" s="14"/>
      <c r="L12" s="14"/>
      <c r="M12" s="14"/>
      <c r="N12" s="14"/>
      <c r="O12" s="15"/>
      <c r="P12" s="14"/>
      <c r="Q12" s="14"/>
      <c r="R12" s="14"/>
      <c r="S12" s="14"/>
      <c r="T12" s="15"/>
      <c r="U12" s="14"/>
      <c r="V12" s="14"/>
      <c r="W12" s="14"/>
      <c r="X12" s="17" t="n">
        <f aca="false">COUNTIF(B12:W12,1)+COUNTIF(B12:W12,"IC")</f>
        <v>0</v>
      </c>
      <c r="Y12" s="14" t="str">
        <f aca="false">IF(COUNTIF(B12:W12,"M")&gt;0,"N/A absence longue",IF(X12&gt;=2,"Atteint","Sous objectif"))</f>
        <v>Sous objectif</v>
      </c>
    </row>
    <row r="13" customFormat="false" ht="18" hidden="false" customHeight="true" outlineLevel="0" collapsed="false">
      <c r="A13" s="13" t="s">
        <v>70</v>
      </c>
      <c r="B13" s="14"/>
      <c r="C13" s="14"/>
      <c r="D13" s="14"/>
      <c r="E13" s="15"/>
      <c r="F13" s="14"/>
      <c r="G13" s="14"/>
      <c r="H13" s="14"/>
      <c r="I13" s="14"/>
      <c r="J13" s="15"/>
      <c r="K13" s="14"/>
      <c r="L13" s="14"/>
      <c r="M13" s="14"/>
      <c r="N13" s="14"/>
      <c r="O13" s="15"/>
      <c r="P13" s="14"/>
      <c r="Q13" s="14"/>
      <c r="R13" s="14"/>
      <c r="S13" s="14"/>
      <c r="T13" s="15"/>
      <c r="U13" s="14"/>
      <c r="V13" s="14"/>
      <c r="W13" s="14"/>
      <c r="X13" s="17" t="n">
        <f aca="false">COUNTIF(B13:W13,1)+COUNTIF(B13:W13,"IC")</f>
        <v>0</v>
      </c>
      <c r="Y13" s="14" t="str">
        <f aca="false">IF(COUNTIF(B13:W13,"M")&gt;0,"N/A absence longue",IF(X13&gt;=2,"Atteint","Sous objectif"))</f>
        <v>Sous objectif</v>
      </c>
    </row>
    <row r="14" customFormat="false" ht="18" hidden="false" customHeight="true" outlineLevel="0" collapsed="false">
      <c r="A14" s="13" t="s">
        <v>67</v>
      </c>
      <c r="B14" s="14"/>
      <c r="C14" s="14"/>
      <c r="D14" s="14"/>
      <c r="E14" s="15"/>
      <c r="F14" s="14"/>
      <c r="G14" s="14"/>
      <c r="H14" s="14"/>
      <c r="I14" s="14"/>
      <c r="J14" s="15"/>
      <c r="K14" s="14"/>
      <c r="L14" s="14"/>
      <c r="M14" s="14"/>
      <c r="N14" s="14"/>
      <c r="O14" s="15"/>
      <c r="P14" s="14"/>
      <c r="Q14" s="14"/>
      <c r="R14" s="14"/>
      <c r="S14" s="14"/>
      <c r="T14" s="15"/>
      <c r="U14" s="14"/>
      <c r="V14" s="14"/>
      <c r="W14" s="14"/>
      <c r="X14" s="17" t="n">
        <f aca="false">COUNTIF(B14:W14,1)+COUNTIF(B14:W14,"IC")</f>
        <v>0</v>
      </c>
      <c r="Y14" s="14" t="str">
        <f aca="false">IF(COUNTIF(B14:W14,"M")&gt;0,"N/A absence longue",IF(X14&gt;=2,"Atteint","Sous objectif"))</f>
        <v>Sous objectif</v>
      </c>
    </row>
    <row r="15" customFormat="false" ht="18" hidden="false" customHeight="true" outlineLevel="0" collapsed="false">
      <c r="A15" s="13" t="s">
        <v>90</v>
      </c>
      <c r="B15" s="14"/>
      <c r="C15" s="14"/>
      <c r="D15" s="14"/>
      <c r="E15" s="15"/>
      <c r="F15" s="14"/>
      <c r="G15" s="14"/>
      <c r="H15" s="14"/>
      <c r="I15" s="14"/>
      <c r="J15" s="15"/>
      <c r="K15" s="14"/>
      <c r="L15" s="14"/>
      <c r="M15" s="14"/>
      <c r="N15" s="14"/>
      <c r="O15" s="15"/>
      <c r="P15" s="14"/>
      <c r="Q15" s="14"/>
      <c r="R15" s="14"/>
      <c r="S15" s="14"/>
      <c r="T15" s="15"/>
      <c r="U15" s="14"/>
      <c r="V15" s="14"/>
      <c r="W15" s="14"/>
      <c r="X15" s="17" t="n">
        <f aca="false">COUNTIF(B15:W15,1)+COUNTIF(B15:W15,"IC")</f>
        <v>0</v>
      </c>
      <c r="Y15" s="14" t="str">
        <f aca="false">IF(COUNTIF(B15:W15,"M")&gt;0,"N/A absence longue",IF(X15&gt;=2,"Atteint","Sous objectif"))</f>
        <v>Sous objectif</v>
      </c>
    </row>
    <row r="16" customFormat="false" ht="18" hidden="false" customHeight="true" outlineLevel="0" collapsed="false">
      <c r="A16" s="13" t="s">
        <v>78</v>
      </c>
      <c r="B16" s="14"/>
      <c r="C16" s="14"/>
      <c r="D16" s="14"/>
      <c r="E16" s="15"/>
      <c r="F16" s="14"/>
      <c r="G16" s="14"/>
      <c r="H16" s="14"/>
      <c r="I16" s="14"/>
      <c r="J16" s="15"/>
      <c r="K16" s="14"/>
      <c r="L16" s="14"/>
      <c r="M16" s="14"/>
      <c r="N16" s="14"/>
      <c r="O16" s="15"/>
      <c r="P16" s="14"/>
      <c r="Q16" s="14"/>
      <c r="R16" s="14"/>
      <c r="S16" s="14"/>
      <c r="T16" s="15"/>
      <c r="U16" s="14"/>
      <c r="V16" s="14"/>
      <c r="W16" s="14"/>
      <c r="X16" s="17" t="n">
        <f aca="false">COUNTIF(B16:W16,1)+COUNTIF(B16:W16,"IC")</f>
        <v>0</v>
      </c>
      <c r="Y16" s="14" t="str">
        <f aca="false">IF(COUNTIF(B16:W16,"M")&gt;0,"N/A absence longue",IF(X16&gt;=2,"Atteint","Sous objectif"))</f>
        <v>Sous objectif</v>
      </c>
    </row>
    <row r="17" customFormat="false" ht="18" hidden="false" customHeight="true" outlineLevel="0" collapsed="false">
      <c r="A17" s="13" t="s">
        <v>91</v>
      </c>
      <c r="B17" s="14"/>
      <c r="C17" s="14"/>
      <c r="D17" s="14"/>
      <c r="E17" s="15"/>
      <c r="F17" s="14"/>
      <c r="G17" s="14"/>
      <c r="H17" s="14"/>
      <c r="I17" s="14"/>
      <c r="J17" s="15"/>
      <c r="K17" s="14"/>
      <c r="L17" s="14"/>
      <c r="M17" s="14"/>
      <c r="N17" s="14"/>
      <c r="O17" s="15"/>
      <c r="P17" s="14"/>
      <c r="Q17" s="14"/>
      <c r="R17" s="14"/>
      <c r="S17" s="14"/>
      <c r="T17" s="15"/>
      <c r="U17" s="14"/>
      <c r="V17" s="14"/>
      <c r="W17" s="14"/>
      <c r="X17" s="17" t="n">
        <f aca="false">COUNTIF(B17:W17,1)+COUNTIF(B17:W17,"IC")</f>
        <v>0</v>
      </c>
      <c r="Y17" s="14" t="str">
        <f aca="false">IF(COUNTIF(B17:W17,"M")&gt;0,"N/A absence longue",IF(X17&gt;=2,"Atteint","Sous objectif"))</f>
        <v>Sous objectif</v>
      </c>
    </row>
    <row r="18" customFormat="false" ht="18" hidden="false" customHeight="true" outlineLevel="0" collapsed="false">
      <c r="A18" s="13" t="s">
        <v>75</v>
      </c>
      <c r="B18" s="14"/>
      <c r="C18" s="14"/>
      <c r="D18" s="14"/>
      <c r="E18" s="15"/>
      <c r="F18" s="14"/>
      <c r="G18" s="14"/>
      <c r="H18" s="14"/>
      <c r="I18" s="14"/>
      <c r="J18" s="15"/>
      <c r="K18" s="14"/>
      <c r="L18" s="14"/>
      <c r="M18" s="14"/>
      <c r="N18" s="14"/>
      <c r="O18" s="15"/>
      <c r="P18" s="14"/>
      <c r="Q18" s="14"/>
      <c r="R18" s="14"/>
      <c r="S18" s="14"/>
      <c r="T18" s="15"/>
      <c r="U18" s="14"/>
      <c r="V18" s="14"/>
      <c r="W18" s="14"/>
      <c r="X18" s="17" t="n">
        <f aca="false">COUNTIF(B18:W18,1)+COUNTIF(B18:W18,"IC")</f>
        <v>0</v>
      </c>
      <c r="Y18" s="14" t="str">
        <f aca="false">IF(COUNTIF(B18:W18,"M")&gt;0,"N/A absence longue",IF(X18&gt;=2,"Atteint","Sous objectif"))</f>
        <v>Sous objectif</v>
      </c>
    </row>
    <row r="19" customFormat="false" ht="18" hidden="false" customHeight="true" outlineLevel="0" collapsed="false">
      <c r="A19" s="13" t="s">
        <v>81</v>
      </c>
      <c r="B19" s="14"/>
      <c r="C19" s="14"/>
      <c r="D19" s="14"/>
      <c r="E19" s="15"/>
      <c r="F19" s="14"/>
      <c r="G19" s="14"/>
      <c r="H19" s="14"/>
      <c r="I19" s="14"/>
      <c r="J19" s="15"/>
      <c r="K19" s="14"/>
      <c r="L19" s="14"/>
      <c r="M19" s="14"/>
      <c r="N19" s="14"/>
      <c r="O19" s="15"/>
      <c r="P19" s="14"/>
      <c r="Q19" s="14"/>
      <c r="R19" s="14"/>
      <c r="S19" s="14"/>
      <c r="T19" s="15"/>
      <c r="U19" s="14"/>
      <c r="V19" s="14"/>
      <c r="W19" s="14"/>
      <c r="X19" s="17" t="n">
        <f aca="false">COUNTIF(B19:W19,1)+COUNTIF(B19:W19,"IC")</f>
        <v>0</v>
      </c>
      <c r="Y19" s="14" t="str">
        <f aca="false">IF(COUNTIF(B19:W19,"M")&gt;0,"N/A absence longue",IF(X19&gt;=2,"Atteint","Sous objectif"))</f>
        <v>Sous objectif</v>
      </c>
    </row>
    <row r="20" customFormat="false" ht="18" hidden="false" customHeight="true" outlineLevel="0" collapsed="false">
      <c r="A20" s="13" t="s">
        <v>89</v>
      </c>
      <c r="B20" s="14"/>
      <c r="C20" s="14"/>
      <c r="D20" s="14"/>
      <c r="E20" s="15"/>
      <c r="F20" s="14"/>
      <c r="G20" s="14"/>
      <c r="H20" s="14"/>
      <c r="I20" s="14"/>
      <c r="J20" s="15"/>
      <c r="K20" s="14"/>
      <c r="L20" s="14"/>
      <c r="M20" s="14"/>
      <c r="N20" s="14"/>
      <c r="O20" s="15"/>
      <c r="P20" s="14"/>
      <c r="Q20" s="14"/>
      <c r="R20" s="14"/>
      <c r="S20" s="14"/>
      <c r="T20" s="15"/>
      <c r="U20" s="14"/>
      <c r="V20" s="14"/>
      <c r="W20" s="14"/>
      <c r="X20" s="17" t="n">
        <f aca="false">COUNTIF(B20:W20,1)+COUNTIF(B20:W20,"IC")</f>
        <v>0</v>
      </c>
      <c r="Y20" s="14" t="str">
        <f aca="false">IF(COUNTIF(B20:W20,"M")&gt;0,"N/A absence longue",IF(X20&gt;=2,"Atteint","Sous objectif"))</f>
        <v>Sous objectif</v>
      </c>
    </row>
    <row r="21" customFormat="false" ht="18" hidden="false" customHeight="true" outlineLevel="0" collapsed="false">
      <c r="A21" s="13" t="s">
        <v>80</v>
      </c>
      <c r="B21" s="14" t="n">
        <v>1</v>
      </c>
      <c r="C21" s="14"/>
      <c r="D21" s="14"/>
      <c r="E21" s="15"/>
      <c r="F21" s="14"/>
      <c r="G21" s="14"/>
      <c r="H21" s="14"/>
      <c r="I21" s="14"/>
      <c r="J21" s="15"/>
      <c r="K21" s="14"/>
      <c r="L21" s="14"/>
      <c r="M21" s="14"/>
      <c r="N21" s="14"/>
      <c r="O21" s="15"/>
      <c r="P21" s="14"/>
      <c r="Q21" s="14"/>
      <c r="R21" s="14"/>
      <c r="S21" s="14"/>
      <c r="T21" s="15"/>
      <c r="U21" s="14"/>
      <c r="V21" s="14"/>
      <c r="W21" s="14"/>
      <c r="X21" s="17" t="n">
        <f aca="false">COUNTIF(B21:W21,1)+COUNTIF(B21:W21,"IC")</f>
        <v>1</v>
      </c>
      <c r="Y21" s="14" t="str">
        <f aca="false">IF(COUNTIF(B21:W21,"M")&gt;0,"N/A absence longue",IF(X21&gt;=2,"Atteint","Sous objectif"))</f>
        <v>Sous objectif</v>
      </c>
    </row>
    <row r="22" customFormat="false" ht="18" hidden="false" customHeight="true" outlineLevel="0" collapsed="false">
      <c r="A22" s="13" t="s">
        <v>72</v>
      </c>
      <c r="B22" s="14"/>
      <c r="C22" s="14"/>
      <c r="D22" s="14"/>
      <c r="E22" s="15"/>
      <c r="F22" s="14"/>
      <c r="G22" s="14"/>
      <c r="H22" s="14"/>
      <c r="I22" s="14"/>
      <c r="J22" s="15"/>
      <c r="K22" s="14"/>
      <c r="L22" s="14"/>
      <c r="M22" s="14"/>
      <c r="N22" s="14"/>
      <c r="O22" s="15"/>
      <c r="P22" s="14"/>
      <c r="Q22" s="14"/>
      <c r="R22" s="14"/>
      <c r="S22" s="14"/>
      <c r="T22" s="15"/>
      <c r="U22" s="14"/>
      <c r="V22" s="14"/>
      <c r="W22" s="14"/>
      <c r="X22" s="17" t="n">
        <f aca="false">COUNTIF(B22:W22,1)+COUNTIF(B22:W22,"IC")</f>
        <v>0</v>
      </c>
      <c r="Y22" s="14" t="str">
        <f aca="false">IF(COUNTIF(B22:W22,"M")&gt;0,"N/A absence longue",IF(X22&gt;=2,"Atteint","Sous objectif"))</f>
        <v>Sous objectif</v>
      </c>
    </row>
    <row r="23" customFormat="false" ht="18" hidden="false" customHeight="true" outlineLevel="0" collapsed="false">
      <c r="A23" s="13" t="s">
        <v>73</v>
      </c>
      <c r="B23" s="14"/>
      <c r="C23" s="14"/>
      <c r="D23" s="14"/>
      <c r="E23" s="15"/>
      <c r="F23" s="14"/>
      <c r="G23" s="14"/>
      <c r="H23" s="14"/>
      <c r="I23" s="14"/>
      <c r="J23" s="15"/>
      <c r="K23" s="14"/>
      <c r="L23" s="14"/>
      <c r="M23" s="14"/>
      <c r="N23" s="14"/>
      <c r="O23" s="15"/>
      <c r="P23" s="14"/>
      <c r="Q23" s="14"/>
      <c r="R23" s="14"/>
      <c r="S23" s="14"/>
      <c r="T23" s="15"/>
      <c r="U23" s="14"/>
      <c r="V23" s="14"/>
      <c r="W23" s="14"/>
      <c r="X23" s="17" t="n">
        <f aca="false">COUNTIF(B23:W23,1)+COUNTIF(B23:W23,"IC")</f>
        <v>0</v>
      </c>
      <c r="Y23" s="14" t="str">
        <f aca="false">IF(COUNTIF(B23:W23,"M")&gt;0,"N/A absence longue",IF(X23&gt;=2,"Atteint","Sous objectif"))</f>
        <v>Sous objectif</v>
      </c>
    </row>
    <row r="24" customFormat="false" ht="18" hidden="false" customHeight="true" outlineLevel="0" collapsed="false">
      <c r="A24" s="13" t="s">
        <v>69</v>
      </c>
      <c r="B24" s="14"/>
      <c r="C24" s="14"/>
      <c r="D24" s="14"/>
      <c r="E24" s="15"/>
      <c r="F24" s="14"/>
      <c r="G24" s="14"/>
      <c r="H24" s="14"/>
      <c r="I24" s="14"/>
      <c r="J24" s="15"/>
      <c r="K24" s="14"/>
      <c r="L24" s="14"/>
      <c r="M24" s="14"/>
      <c r="N24" s="14"/>
      <c r="O24" s="15"/>
      <c r="P24" s="14"/>
      <c r="Q24" s="14"/>
      <c r="R24" s="14"/>
      <c r="S24" s="14"/>
      <c r="T24" s="15"/>
      <c r="U24" s="14"/>
      <c r="V24" s="14"/>
      <c r="W24" s="14"/>
      <c r="X24" s="17" t="n">
        <f aca="false">COUNTIF(B24:W24,1)+COUNTIF(B24:W24,"IC")</f>
        <v>0</v>
      </c>
      <c r="Y24" s="14" t="str">
        <f aca="false">IF(COUNTIF(B24:W24,"M")&gt;0,"N/A absence longue",IF(X24&gt;=2,"Atteint","Sous objectif"))</f>
        <v>Sous objectif</v>
      </c>
    </row>
    <row r="25" customFormat="false" ht="18" hidden="false" customHeight="true" outlineLevel="0" collapsed="false">
      <c r="A25" s="13" t="s">
        <v>76</v>
      </c>
      <c r="B25" s="14"/>
      <c r="C25" s="14"/>
      <c r="D25" s="14"/>
      <c r="E25" s="15"/>
      <c r="F25" s="14"/>
      <c r="G25" s="14"/>
      <c r="H25" s="14"/>
      <c r="I25" s="14"/>
      <c r="J25" s="15"/>
      <c r="K25" s="14"/>
      <c r="L25" s="14"/>
      <c r="M25" s="14"/>
      <c r="N25" s="14"/>
      <c r="O25" s="15"/>
      <c r="P25" s="14"/>
      <c r="Q25" s="14"/>
      <c r="R25" s="14"/>
      <c r="S25" s="14"/>
      <c r="T25" s="15"/>
      <c r="U25" s="14"/>
      <c r="V25" s="14"/>
      <c r="W25" s="14"/>
      <c r="X25" s="17" t="n">
        <f aca="false">COUNTIF(B25:W25,1)+COUNTIF(B25:W25,"IC")</f>
        <v>0</v>
      </c>
      <c r="Y25" s="14" t="str">
        <f aca="false">IF(COUNTIF(B25:W25,"M")&gt;0,"N/A absence longue",IF(X25&gt;=2,"Atteint","Sous objectif"))</f>
        <v>Sous objectif</v>
      </c>
    </row>
    <row r="26" customFormat="false" ht="18" hidden="false" customHeight="true" outlineLevel="0" collapsed="false">
      <c r="A26" s="13" t="s">
        <v>79</v>
      </c>
      <c r="B26" s="14"/>
      <c r="C26" s="14"/>
      <c r="D26" s="14"/>
      <c r="E26" s="15"/>
      <c r="F26" s="14"/>
      <c r="G26" s="14"/>
      <c r="H26" s="14"/>
      <c r="I26" s="14"/>
      <c r="J26" s="15"/>
      <c r="K26" s="14"/>
      <c r="L26" s="14"/>
      <c r="M26" s="14"/>
      <c r="N26" s="14"/>
      <c r="O26" s="15"/>
      <c r="P26" s="14"/>
      <c r="Q26" s="14"/>
      <c r="R26" s="14"/>
      <c r="S26" s="14"/>
      <c r="T26" s="15"/>
      <c r="U26" s="14"/>
      <c r="V26" s="14"/>
      <c r="W26" s="14"/>
      <c r="X26" s="17" t="n">
        <f aca="false">COUNTIF(B26:W26,1)+COUNTIF(B26:W26,"IC")</f>
        <v>0</v>
      </c>
      <c r="Y26" s="14" t="str">
        <f aca="false">IF(COUNTIF(B26:W26,"M")&gt;0,"N/A absence longue",IF(X26&gt;=2,"Atteint","Sous objectif"))</f>
        <v>Sous objectif</v>
      </c>
    </row>
    <row r="27" customFormat="false" ht="18" hidden="false" customHeight="true" outlineLevel="0" collapsed="false">
      <c r="A27" s="13" t="s">
        <v>87</v>
      </c>
      <c r="B27" s="14"/>
      <c r="C27" s="14"/>
      <c r="D27" s="14"/>
      <c r="E27" s="15"/>
      <c r="F27" s="14"/>
      <c r="G27" s="14"/>
      <c r="H27" s="14"/>
      <c r="I27" s="14"/>
      <c r="J27" s="15"/>
      <c r="K27" s="14"/>
      <c r="L27" s="14"/>
      <c r="M27" s="14"/>
      <c r="N27" s="14"/>
      <c r="O27" s="15"/>
      <c r="P27" s="14"/>
      <c r="Q27" s="14"/>
      <c r="R27" s="14"/>
      <c r="S27" s="14"/>
      <c r="T27" s="15"/>
      <c r="U27" s="14"/>
      <c r="V27" s="14"/>
      <c r="W27" s="14"/>
      <c r="X27" s="17" t="n">
        <f aca="false">COUNTIF(B27:W27,1)+COUNTIF(B27:W27,"IC")</f>
        <v>0</v>
      </c>
      <c r="Y27" s="14" t="str">
        <f aca="false">IF(COUNTIF(B27:W27,"M")&gt;0,"N/A absence longue",IF(X27&gt;=2,"Atteint","Sous objectif"))</f>
        <v>Sous objectif</v>
      </c>
    </row>
    <row r="28" customFormat="false" ht="18" hidden="false" customHeight="true" outlineLevel="0" collapsed="false">
      <c r="A28" s="13" t="s">
        <v>88</v>
      </c>
      <c r="B28" s="14"/>
      <c r="C28" s="14"/>
      <c r="D28" s="14"/>
      <c r="E28" s="15"/>
      <c r="F28" s="14"/>
      <c r="G28" s="14"/>
      <c r="H28" s="14"/>
      <c r="I28" s="14"/>
      <c r="J28" s="15"/>
      <c r="K28" s="14"/>
      <c r="L28" s="14"/>
      <c r="M28" s="14"/>
      <c r="N28" s="14"/>
      <c r="O28" s="15"/>
      <c r="P28" s="14"/>
      <c r="Q28" s="14"/>
      <c r="R28" s="14"/>
      <c r="S28" s="14"/>
      <c r="T28" s="15"/>
      <c r="U28" s="14"/>
      <c r="V28" s="14"/>
      <c r="W28" s="14"/>
      <c r="X28" s="17" t="n">
        <f aca="false">COUNTIF(B28:W28,1)+COUNTIF(B28:W28,"IC")</f>
        <v>0</v>
      </c>
      <c r="Y28" s="14" t="str">
        <f aca="false">IF(COUNTIF(B28:W28,"M")&gt;0,"N/A absence longue",IF(X28&gt;=2,"Atteint","Sous objectif"))</f>
        <v>Sous objectif</v>
      </c>
    </row>
    <row r="29" customFormat="false" ht="18" hidden="false" customHeight="true" outlineLevel="0" collapsed="false">
      <c r="A29" s="13" t="s">
        <v>85</v>
      </c>
      <c r="B29" s="14"/>
      <c r="C29" s="14"/>
      <c r="D29" s="14"/>
      <c r="E29" s="15"/>
      <c r="F29" s="14"/>
      <c r="G29" s="14"/>
      <c r="H29" s="14"/>
      <c r="I29" s="14"/>
      <c r="J29" s="15"/>
      <c r="K29" s="14"/>
      <c r="L29" s="14"/>
      <c r="M29" s="14"/>
      <c r="N29" s="14"/>
      <c r="O29" s="15"/>
      <c r="P29" s="14"/>
      <c r="Q29" s="14"/>
      <c r="R29" s="14"/>
      <c r="S29" s="14"/>
      <c r="T29" s="15"/>
      <c r="U29" s="14"/>
      <c r="V29" s="14"/>
      <c r="W29" s="14"/>
      <c r="X29" s="17" t="n">
        <f aca="false">COUNTIF(B29:W29,1)+COUNTIF(B29:W29,"IC")</f>
        <v>0</v>
      </c>
      <c r="Y29" s="14" t="str">
        <f aca="false">IF(COUNTIF(B29:W29,"M")&gt;0,"N/A absence longue",IF(X29&gt;=2,"Atteint","Sous objectif"))</f>
        <v>Sous objectif</v>
      </c>
    </row>
    <row r="30" customFormat="false" ht="18" hidden="false" customHeight="true" outlineLevel="0" collapsed="false">
      <c r="A30" s="13" t="s">
        <v>68</v>
      </c>
      <c r="B30" s="14"/>
      <c r="C30" s="14"/>
      <c r="D30" s="14"/>
      <c r="E30" s="15"/>
      <c r="F30" s="14"/>
      <c r="G30" s="14"/>
      <c r="H30" s="14"/>
      <c r="I30" s="14"/>
      <c r="J30" s="15"/>
      <c r="K30" s="14"/>
      <c r="L30" s="14"/>
      <c r="M30" s="14"/>
      <c r="N30" s="14"/>
      <c r="O30" s="15"/>
      <c r="P30" s="14"/>
      <c r="Q30" s="14"/>
      <c r="R30" s="14"/>
      <c r="S30" s="14"/>
      <c r="T30" s="15"/>
      <c r="U30" s="14"/>
      <c r="V30" s="14"/>
      <c r="W30" s="14"/>
      <c r="X30" s="17" t="n">
        <f aca="false">COUNTIF(B30:W30,1)+COUNTIF(B30:W30,"IC")</f>
        <v>0</v>
      </c>
      <c r="Y30" s="14" t="str">
        <f aca="false">IF(COUNTIF(B30:W30,"M")&gt;0,"N/A absence longue",IF(X30&gt;=2,"Atteint","Sous objectif"))</f>
        <v>Sous objectif</v>
      </c>
    </row>
    <row r="32" customFormat="false" ht="15.75" hidden="false" customHeight="true" outlineLevel="0" collapsed="false">
      <c r="A32" s="23" t="s">
        <v>112</v>
      </c>
    </row>
    <row r="33" customFormat="false" ht="15.75" hidden="false" customHeight="true" outlineLevel="0" collapsed="false">
      <c r="A33" s="24" t="s">
        <v>106</v>
      </c>
      <c r="B33" s="14"/>
      <c r="C33" s="14"/>
      <c r="D33" s="14"/>
      <c r="E33" s="15"/>
      <c r="F33" s="14"/>
      <c r="G33" s="14"/>
      <c r="H33" s="14"/>
      <c r="I33" s="14"/>
      <c r="J33" s="15"/>
      <c r="K33" s="14"/>
      <c r="L33" s="14"/>
      <c r="M33" s="14"/>
      <c r="N33" s="14"/>
      <c r="O33" s="15"/>
      <c r="P33" s="14"/>
      <c r="Q33" s="14"/>
      <c r="R33" s="14"/>
      <c r="S33" s="14"/>
      <c r="T33" s="15"/>
      <c r="U33" s="14"/>
      <c r="V33" s="14"/>
      <c r="W33" s="14"/>
    </row>
    <row r="34" customFormat="false" ht="15.75" hidden="false" customHeight="true" outlineLevel="0" collapsed="false">
      <c r="A34" s="24" t="s">
        <v>104</v>
      </c>
      <c r="B34" s="14"/>
      <c r="C34" s="14"/>
      <c r="D34" s="14"/>
      <c r="E34" s="15"/>
      <c r="F34" s="14"/>
      <c r="G34" s="14"/>
      <c r="H34" s="14"/>
      <c r="I34" s="14"/>
      <c r="J34" s="15"/>
      <c r="K34" s="14"/>
      <c r="L34" s="14"/>
      <c r="M34" s="14"/>
      <c r="N34" s="14"/>
      <c r="O34" s="15"/>
      <c r="P34" s="14"/>
      <c r="Q34" s="14"/>
      <c r="R34" s="14"/>
      <c r="S34" s="14"/>
      <c r="T34" s="15"/>
      <c r="U34" s="14"/>
      <c r="V34" s="14"/>
      <c r="W34" s="14"/>
    </row>
    <row r="35" customFormat="false" ht="15.75" hidden="false" customHeight="true" outlineLevel="0" collapsed="false">
      <c r="A35" s="24" t="s">
        <v>113</v>
      </c>
      <c r="B35" s="14"/>
      <c r="C35" s="14"/>
      <c r="D35" s="14"/>
      <c r="E35" s="15"/>
      <c r="F35" s="14"/>
      <c r="G35" s="14"/>
      <c r="H35" s="14"/>
      <c r="I35" s="14"/>
      <c r="J35" s="15"/>
      <c r="K35" s="14"/>
      <c r="L35" s="14"/>
      <c r="M35" s="14"/>
      <c r="N35" s="14"/>
      <c r="O35" s="15"/>
      <c r="P35" s="14"/>
      <c r="Q35" s="14"/>
      <c r="R35" s="14"/>
      <c r="S35" s="14"/>
      <c r="T35" s="15"/>
      <c r="U35" s="14"/>
      <c r="V35" s="14"/>
      <c r="W35" s="14"/>
    </row>
  </sheetData>
  <mergeCells count="1">
    <mergeCell ref="A1:Y1"/>
  </mergeCells>
  <conditionalFormatting sqref="B4:W30">
    <cfRule type="cellIs" priority="2" operator="equal" aboveAverage="0" equalAverage="0" bottom="0" percent="0" rank="0" text="" dxfId="0">
      <formula>1</formula>
    </cfRule>
    <cfRule type="cellIs" priority="3" operator="equal" aboveAverage="0" equalAverage="0" bottom="0" percent="0" rank="0" text="" dxfId="1">
      <formula>"IC"</formula>
    </cfRule>
    <cfRule type="cellIs" priority="4" operator="equal" aboveAverage="0" equalAverage="0" bottom="0" percent="0" rank="0" text="" dxfId="2">
      <formula>"M"</formula>
    </cfRule>
  </conditionalFormatting>
  <conditionalFormatting sqref="B33:W35">
    <cfRule type="cellIs" priority="5" operator="equal" aboveAverage="0" equalAverage="0" bottom="0" percent="0" rank="0" text="" dxfId="3">
      <formula>"X"</formula>
    </cfRule>
  </conditionalFormatting>
  <dataValidations count="2">
    <dataValidation allowBlank="true" errorStyle="stop" operator="between" showDropDown="false" showErrorMessage="false" showInputMessage="false" sqref="B33:W35" type="list">
      <formula1>"X"</formula1>
      <formula2>0</formula2>
    </dataValidation>
    <dataValidation allowBlank="true" errorStyle="stop" operator="between" showDropDown="false" showErrorMessage="false" showInputMessage="false" sqref="B4:W30" type="list">
      <formula1>"1,IC,M"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"/>
  <sheetViews>
    <sheetView showFormulas="false" showGridLines="true" showRowColHeaders="true" showZeros="true" rightToLeft="false" tabSelected="false" showOutlineSymbols="true" defaultGridColor="true" view="normal" topLeftCell="A8" colorId="64" zoomScale="100" zoomScaleNormal="100" zoomScalePageLayoutView="100" workbookViewId="0">
      <selection pane="topLeft" activeCell="E15" activeCellId="0" sqref="E15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72"/>
    <col collapsed="false" customWidth="true" hidden="false" outlineLevel="0" max="4" min="4" style="0" width="28"/>
    <col collapsed="false" customWidth="true" hidden="false" outlineLevel="0" max="5" min="5" style="0" width="40"/>
  </cols>
  <sheetData>
    <row r="1" customFormat="false" ht="17.25" hidden="false" customHeight="true" outlineLevel="0" collapsed="false">
      <c r="A1" s="7" t="s">
        <v>119</v>
      </c>
      <c r="B1" s="7"/>
      <c r="C1" s="7"/>
      <c r="D1" s="7"/>
      <c r="E1" s="7"/>
    </row>
    <row r="3" customFormat="false" ht="15" hidden="false" customHeight="true" outlineLevel="0" collapsed="false">
      <c r="A3" s="8" t="s">
        <v>39</v>
      </c>
      <c r="B3" s="8" t="s">
        <v>41</v>
      </c>
      <c r="C3" s="8" t="s">
        <v>43</v>
      </c>
      <c r="D3" s="8" t="s">
        <v>45</v>
      </c>
      <c r="E3" s="8" t="s">
        <v>47</v>
      </c>
    </row>
    <row r="4" customFormat="false" ht="15" hidden="false" customHeight="true" outlineLevel="0" collapsed="false">
      <c r="A4" s="0" t="s">
        <v>120</v>
      </c>
      <c r="B4" s="6" t="n">
        <v>45720</v>
      </c>
      <c r="C4" s="26" t="s">
        <v>121</v>
      </c>
      <c r="D4" s="26" t="s">
        <v>99</v>
      </c>
    </row>
    <row r="5" customFormat="false" ht="15" hidden="false" customHeight="true" outlineLevel="0" collapsed="false">
      <c r="A5" s="0" t="s">
        <v>122</v>
      </c>
      <c r="B5" s="6" t="n">
        <v>45734</v>
      </c>
      <c r="C5" s="26" t="s">
        <v>121</v>
      </c>
      <c r="D5" s="26" t="s">
        <v>78</v>
      </c>
    </row>
    <row r="6" customFormat="false" ht="15" hidden="false" customHeight="true" outlineLevel="0" collapsed="false">
      <c r="A6" s="0" t="s">
        <v>123</v>
      </c>
      <c r="B6" s="6" t="n">
        <v>45783</v>
      </c>
      <c r="C6" s="26" t="s">
        <v>124</v>
      </c>
      <c r="D6" s="26" t="s">
        <v>99</v>
      </c>
    </row>
    <row r="7" customFormat="false" ht="15" hidden="false" customHeight="true" outlineLevel="0" collapsed="false">
      <c r="A7" s="0" t="s">
        <v>125</v>
      </c>
      <c r="B7" s="6" t="n">
        <v>45792</v>
      </c>
      <c r="C7" s="26" t="s">
        <v>126</v>
      </c>
      <c r="D7" s="26" t="s">
        <v>99</v>
      </c>
    </row>
    <row r="8" customFormat="false" ht="15" hidden="false" customHeight="true" outlineLevel="0" collapsed="false">
      <c r="A8" s="0" t="s">
        <v>127</v>
      </c>
      <c r="B8" s="6" t="n">
        <v>45839</v>
      </c>
      <c r="C8" s="26" t="s">
        <v>128</v>
      </c>
      <c r="D8" s="26" t="s">
        <v>89</v>
      </c>
    </row>
    <row r="9" customFormat="false" ht="15" hidden="false" customHeight="true" outlineLevel="0" collapsed="false">
      <c r="A9" s="0" t="s">
        <v>129</v>
      </c>
      <c r="B9" s="6" t="n">
        <v>45869</v>
      </c>
      <c r="C9" s="26" t="s">
        <v>130</v>
      </c>
      <c r="D9" s="26" t="s">
        <v>99</v>
      </c>
    </row>
    <row r="10" customFormat="false" ht="15" hidden="false" customHeight="true" outlineLevel="0" collapsed="false">
      <c r="A10" s="0" t="s">
        <v>131</v>
      </c>
      <c r="B10" s="6" t="n">
        <v>45923</v>
      </c>
      <c r="C10" s="26" t="s">
        <v>132</v>
      </c>
      <c r="D10" s="26" t="s">
        <v>99</v>
      </c>
    </row>
    <row r="11" customFormat="false" ht="15" hidden="false" customHeight="true" outlineLevel="0" collapsed="false">
      <c r="A11" s="0" t="s">
        <v>133</v>
      </c>
      <c r="B11" s="6" t="n">
        <v>45951</v>
      </c>
      <c r="C11" s="26" t="s">
        <v>132</v>
      </c>
      <c r="D11" s="26" t="s">
        <v>99</v>
      </c>
    </row>
    <row r="12" customFormat="false" ht="15" hidden="false" customHeight="true" outlineLevel="0" collapsed="false">
      <c r="A12" s="0" t="s">
        <v>134</v>
      </c>
      <c r="B12" s="6" t="n">
        <v>45993</v>
      </c>
      <c r="C12" s="26" t="s">
        <v>135</v>
      </c>
      <c r="D12" s="26" t="s">
        <v>136</v>
      </c>
    </row>
    <row r="13" customFormat="false" ht="15" hidden="false" customHeight="true" outlineLevel="0" collapsed="false">
      <c r="A13" s="0" t="s">
        <v>137</v>
      </c>
      <c r="B13" s="6" t="n">
        <v>46044</v>
      </c>
      <c r="C13" s="26" t="s">
        <v>135</v>
      </c>
      <c r="D13" s="26" t="s">
        <v>86</v>
      </c>
    </row>
    <row r="14" customFormat="false" ht="15" hidden="false" customHeight="true" outlineLevel="0" collapsed="false">
      <c r="A14" s="0" t="s">
        <v>138</v>
      </c>
      <c r="B14" s="6" t="n">
        <v>46049</v>
      </c>
      <c r="C14" s="26" t="s">
        <v>139</v>
      </c>
      <c r="D14" s="26" t="s">
        <v>99</v>
      </c>
    </row>
    <row r="15" customFormat="false" ht="15" hidden="false" customHeight="true" outlineLevel="0" collapsed="false">
      <c r="A15" s="0" t="s">
        <v>140</v>
      </c>
      <c r="B15" s="6" t="n">
        <v>46063</v>
      </c>
      <c r="C15" s="26" t="s">
        <v>128</v>
      </c>
      <c r="D15" s="26" t="s">
        <v>89</v>
      </c>
    </row>
    <row r="16" customFormat="false" ht="15" hidden="false" customHeight="true" outlineLevel="0" collapsed="false">
      <c r="A16" s="0" t="s">
        <v>141</v>
      </c>
      <c r="B16" s="6" t="n">
        <v>46077</v>
      </c>
      <c r="C16" s="26" t="s">
        <v>142</v>
      </c>
      <c r="D16" s="26" t="s">
        <v>86</v>
      </c>
    </row>
    <row r="17" customFormat="false" ht="15" hidden="false" customHeight="true" outlineLevel="0" collapsed="false">
      <c r="A17" s="0" t="s">
        <v>143</v>
      </c>
      <c r="B17" s="6" t="n">
        <v>46098</v>
      </c>
      <c r="C17" s="26" t="s">
        <v>144</v>
      </c>
      <c r="D17" s="26" t="s">
        <v>90</v>
      </c>
    </row>
    <row r="18" customFormat="false" ht="15" hidden="false" customHeight="true" outlineLevel="0" collapsed="false">
      <c r="A18" s="0" t="s">
        <v>145</v>
      </c>
      <c r="B18" s="6" t="n">
        <v>46105</v>
      </c>
      <c r="C18" s="26" t="s">
        <v>146</v>
      </c>
      <c r="D18" s="26" t="s">
        <v>99</v>
      </c>
    </row>
    <row r="19" customFormat="false" ht="15" hidden="false" customHeight="true" outlineLevel="0" collapsed="false">
      <c r="A19" s="0" t="s">
        <v>147</v>
      </c>
      <c r="B19" s="6" t="n">
        <v>46119</v>
      </c>
      <c r="C19" s="26" t="s">
        <v>142</v>
      </c>
      <c r="D19" s="26" t="s">
        <v>69</v>
      </c>
    </row>
    <row r="20" customFormat="false" ht="15" hidden="false" customHeight="true" outlineLevel="0" collapsed="false">
      <c r="A20" s="0" t="s">
        <v>148</v>
      </c>
      <c r="B20" s="6" t="n">
        <v>46140</v>
      </c>
      <c r="C20" s="26" t="s">
        <v>144</v>
      </c>
      <c r="D20" s="26" t="s">
        <v>149</v>
      </c>
    </row>
    <row r="21" customFormat="false" ht="15" hidden="false" customHeight="true" outlineLevel="0" collapsed="false">
      <c r="A21" s="0" t="s">
        <v>150</v>
      </c>
      <c r="B21" s="6" t="n">
        <v>46161</v>
      </c>
      <c r="C21" s="26" t="s">
        <v>151</v>
      </c>
      <c r="D21" s="26" t="s">
        <v>89</v>
      </c>
    </row>
    <row r="22" customFormat="false" ht="15" hidden="false" customHeight="true" outlineLevel="0" collapsed="false">
      <c r="B22" s="6"/>
      <c r="D22" s="26"/>
    </row>
    <row r="23" customFormat="false" ht="15" hidden="false" customHeight="true" outlineLevel="0" collapsed="false">
      <c r="B23" s="6"/>
      <c r="D23" s="26"/>
    </row>
    <row r="24" customFormat="false" ht="15" hidden="false" customHeight="true" outlineLevel="0" collapsed="false">
      <c r="B24" s="6"/>
      <c r="D24" s="26"/>
    </row>
    <row r="25" customFormat="false" ht="15" hidden="false" customHeight="true" outlineLevel="0" collapsed="false">
      <c r="B25" s="6"/>
      <c r="D25" s="26"/>
    </row>
    <row r="26" customFormat="false" ht="15" hidden="false" customHeight="true" outlineLevel="0" collapsed="false">
      <c r="B26" s="6"/>
      <c r="D26" s="26"/>
    </row>
    <row r="27" customFormat="false" ht="15" hidden="false" customHeight="true" outlineLevel="0" collapsed="false">
      <c r="B27" s="6"/>
      <c r="D27" s="26"/>
    </row>
    <row r="28" customFormat="false" ht="15" hidden="false" customHeight="true" outlineLevel="0" collapsed="false">
      <c r="B28" s="6"/>
      <c r="D28" s="26"/>
    </row>
    <row r="29" customFormat="false" ht="15" hidden="false" customHeight="true" outlineLevel="0" collapsed="false">
      <c r="B29" s="6"/>
      <c r="D29" s="26"/>
    </row>
    <row r="30" customFormat="false" ht="15" hidden="false" customHeight="true" outlineLevel="0" collapsed="false">
      <c r="B30" s="6"/>
      <c r="D30" s="26"/>
    </row>
    <row r="31" customFormat="false" ht="15" hidden="false" customHeight="true" outlineLevel="0" collapsed="false">
      <c r="B31" s="6"/>
      <c r="D31" s="26"/>
    </row>
    <row r="32" customFormat="false" ht="15" hidden="false" customHeight="true" outlineLevel="0" collapsed="false">
      <c r="B32" s="6"/>
      <c r="D32" s="26"/>
    </row>
    <row r="33" customFormat="false" ht="15" hidden="false" customHeight="true" outlineLevel="0" collapsed="false">
      <c r="B33" s="6"/>
      <c r="D33" s="26"/>
    </row>
    <row r="34" customFormat="false" ht="15" hidden="false" customHeight="true" outlineLevel="0" collapsed="false">
      <c r="B34" s="6"/>
      <c r="D34" s="26"/>
    </row>
    <row r="35" customFormat="false" ht="15" hidden="false" customHeight="true" outlineLevel="0" collapsed="false">
      <c r="B35" s="6"/>
      <c r="D35" s="26"/>
    </row>
    <row r="36" customFormat="false" ht="15" hidden="false" customHeight="true" outlineLevel="0" collapsed="false">
      <c r="B36" s="6"/>
      <c r="D36" s="26"/>
    </row>
    <row r="37" customFormat="false" ht="15" hidden="false" customHeight="true" outlineLevel="0" collapsed="false">
      <c r="B37" s="6"/>
      <c r="D37" s="26"/>
    </row>
    <row r="38" customFormat="false" ht="15" hidden="false" customHeight="true" outlineLevel="0" collapsed="false">
      <c r="B38" s="6"/>
      <c r="D38" s="26"/>
    </row>
    <row r="39" customFormat="false" ht="15" hidden="false" customHeight="true" outlineLevel="0" collapsed="false">
      <c r="B39" s="6"/>
      <c r="D39" s="26"/>
    </row>
    <row r="40" customFormat="false" ht="15" hidden="false" customHeight="true" outlineLevel="0" collapsed="false">
      <c r="B40" s="6"/>
      <c r="D40" s="26"/>
    </row>
    <row r="41" customFormat="false" ht="15" hidden="false" customHeight="true" outlineLevel="0" collapsed="false">
      <c r="B41" s="6"/>
      <c r="D41" s="26"/>
    </row>
    <row r="42" customFormat="false" ht="15" hidden="false" customHeight="true" outlineLevel="0" collapsed="false">
      <c r="B42" s="6"/>
      <c r="D42" s="26"/>
    </row>
    <row r="43" customFormat="false" ht="15" hidden="false" customHeight="true" outlineLevel="0" collapsed="false">
      <c r="B43" s="6"/>
      <c r="D43" s="26"/>
    </row>
    <row r="44" customFormat="false" ht="15" hidden="false" customHeight="true" outlineLevel="0" collapsed="false">
      <c r="B44" s="6"/>
      <c r="D44" s="26"/>
    </row>
    <row r="45" customFormat="false" ht="15" hidden="false" customHeight="true" outlineLevel="0" collapsed="false">
      <c r="B45" s="6"/>
      <c r="D45" s="26"/>
    </row>
    <row r="46" customFormat="false" ht="15" hidden="false" customHeight="true" outlineLevel="0" collapsed="false">
      <c r="B46" s="6"/>
      <c r="D46" s="26"/>
    </row>
    <row r="47" customFormat="false" ht="15" hidden="false" customHeight="true" outlineLevel="0" collapsed="false">
      <c r="B47" s="6"/>
      <c r="D47" s="26"/>
    </row>
    <row r="48" customFormat="false" ht="15" hidden="false" customHeight="true" outlineLevel="0" collapsed="false">
      <c r="B48" s="6"/>
      <c r="D48" s="26"/>
    </row>
    <row r="49" customFormat="false" ht="15" hidden="false" customHeight="true" outlineLevel="0" collapsed="false">
      <c r="B49" s="6"/>
      <c r="D49" s="26"/>
    </row>
    <row r="50" customFormat="false" ht="15" hidden="false" customHeight="true" outlineLevel="0" collapsed="false">
      <c r="B50" s="6"/>
      <c r="D50" s="26"/>
    </row>
    <row r="51" customFormat="false" ht="15" hidden="false" customHeight="true" outlineLevel="0" collapsed="false">
      <c r="B51" s="6"/>
      <c r="D51" s="26"/>
    </row>
    <row r="52" customFormat="false" ht="15" hidden="false" customHeight="true" outlineLevel="0" collapsed="false">
      <c r="B52" s="6"/>
      <c r="D52" s="26"/>
    </row>
    <row r="53" customFormat="false" ht="15" hidden="false" customHeight="true" outlineLevel="0" collapsed="false">
      <c r="B53" s="6"/>
      <c r="D53" s="26"/>
    </row>
    <row r="54" customFormat="false" ht="15" hidden="false" customHeight="true" outlineLevel="0" collapsed="false">
      <c r="B54" s="6"/>
      <c r="D54" s="26"/>
    </row>
    <row r="55" customFormat="false" ht="15" hidden="false" customHeight="true" outlineLevel="0" collapsed="false">
      <c r="B55" s="6"/>
      <c r="D55" s="26"/>
    </row>
    <row r="56" customFormat="false" ht="15" hidden="false" customHeight="true" outlineLevel="0" collapsed="false">
      <c r="B56" s="6"/>
      <c r="D56" s="26"/>
    </row>
    <row r="57" customFormat="false" ht="15" hidden="false" customHeight="true" outlineLevel="0" collapsed="false">
      <c r="B57" s="6"/>
      <c r="D57" s="26"/>
    </row>
    <row r="58" customFormat="false" ht="15" hidden="false" customHeight="true" outlineLevel="0" collapsed="false">
      <c r="B58" s="6"/>
      <c r="D58" s="26"/>
    </row>
    <row r="59" customFormat="false" ht="15" hidden="false" customHeight="true" outlineLevel="0" collapsed="false">
      <c r="B59" s="6"/>
      <c r="D59" s="26"/>
    </row>
    <row r="60" customFormat="false" ht="15" hidden="false" customHeight="true" outlineLevel="0" collapsed="false">
      <c r="B60" s="6"/>
      <c r="D60" s="26"/>
    </row>
    <row r="61" customFormat="false" ht="15" hidden="false" customHeight="true" outlineLevel="0" collapsed="false">
      <c r="B61" s="6"/>
      <c r="D61" s="26"/>
    </row>
    <row r="62" customFormat="false" ht="15" hidden="false" customHeight="true" outlineLevel="0" collapsed="false">
      <c r="B62" s="6"/>
      <c r="D62" s="26"/>
    </row>
    <row r="63" customFormat="false" ht="15" hidden="false" customHeight="true" outlineLevel="0" collapsed="false">
      <c r="B63" s="6"/>
      <c r="D63" s="26"/>
    </row>
    <row r="64" customFormat="false" ht="15" hidden="false" customHeight="true" outlineLevel="0" collapsed="false">
      <c r="B64" s="6"/>
      <c r="D64" s="26"/>
    </row>
    <row r="65" customFormat="false" ht="15" hidden="false" customHeight="true" outlineLevel="0" collapsed="false">
      <c r="B65" s="6"/>
      <c r="D65" s="26"/>
    </row>
    <row r="66" customFormat="false" ht="15" hidden="false" customHeight="true" outlineLevel="0" collapsed="false">
      <c r="B66" s="6"/>
      <c r="D66" s="26"/>
    </row>
    <row r="67" customFormat="false" ht="15" hidden="false" customHeight="true" outlineLevel="0" collapsed="false">
      <c r="B67" s="6"/>
      <c r="D67" s="26"/>
    </row>
    <row r="68" customFormat="false" ht="15" hidden="false" customHeight="true" outlineLevel="0" collapsed="false">
      <c r="B68" s="6"/>
      <c r="D68" s="26"/>
    </row>
    <row r="69" customFormat="false" ht="15" hidden="false" customHeight="true" outlineLevel="0" collapsed="false">
      <c r="B69" s="6"/>
      <c r="D69" s="26"/>
    </row>
    <row r="70" customFormat="false" ht="15" hidden="false" customHeight="true" outlineLevel="0" collapsed="false">
      <c r="B70" s="6"/>
      <c r="D70" s="26"/>
    </row>
    <row r="71" customFormat="false" ht="15" hidden="false" customHeight="true" outlineLevel="0" collapsed="false">
      <c r="B71" s="6"/>
      <c r="D71" s="26"/>
    </row>
    <row r="72" customFormat="false" ht="15" hidden="false" customHeight="true" outlineLevel="0" collapsed="false">
      <c r="B72" s="6"/>
      <c r="D72" s="26"/>
    </row>
    <row r="73" customFormat="false" ht="15" hidden="false" customHeight="true" outlineLevel="0" collapsed="false">
      <c r="B73" s="6"/>
      <c r="D73" s="26"/>
    </row>
    <row r="74" customFormat="false" ht="15" hidden="false" customHeight="true" outlineLevel="0" collapsed="false">
      <c r="B74" s="6"/>
      <c r="D74" s="26"/>
    </row>
    <row r="75" customFormat="false" ht="15" hidden="false" customHeight="true" outlineLevel="0" collapsed="false">
      <c r="B75" s="6"/>
      <c r="D75" s="26"/>
    </row>
    <row r="76" customFormat="false" ht="15" hidden="false" customHeight="true" outlineLevel="0" collapsed="false">
      <c r="B76" s="6"/>
      <c r="D76" s="26"/>
    </row>
    <row r="77" customFormat="false" ht="15" hidden="false" customHeight="true" outlineLevel="0" collapsed="false">
      <c r="B77" s="6"/>
      <c r="D77" s="26"/>
    </row>
    <row r="78" customFormat="false" ht="15" hidden="false" customHeight="true" outlineLevel="0" collapsed="false">
      <c r="B78" s="6"/>
      <c r="D78" s="26"/>
    </row>
    <row r="79" customFormat="false" ht="15" hidden="false" customHeight="true" outlineLevel="0" collapsed="false">
      <c r="B79" s="6"/>
      <c r="D79" s="26"/>
    </row>
    <row r="80" customFormat="false" ht="15" hidden="false" customHeight="true" outlineLevel="0" collapsed="false">
      <c r="B80" s="6"/>
      <c r="D80" s="26"/>
    </row>
    <row r="81" customFormat="false" ht="15" hidden="false" customHeight="true" outlineLevel="0" collapsed="false">
      <c r="B81" s="6"/>
      <c r="D81" s="26"/>
    </row>
    <row r="82" customFormat="false" ht="15" hidden="false" customHeight="true" outlineLevel="0" collapsed="false">
      <c r="B82" s="6"/>
      <c r="D82" s="26"/>
    </row>
    <row r="83" customFormat="false" ht="15" hidden="false" customHeight="true" outlineLevel="0" collapsed="false">
      <c r="B83" s="6"/>
      <c r="D83" s="26"/>
    </row>
    <row r="84" customFormat="false" ht="15" hidden="false" customHeight="true" outlineLevel="0" collapsed="false">
      <c r="B84" s="6"/>
      <c r="D84" s="26"/>
    </row>
    <row r="85" customFormat="false" ht="15" hidden="false" customHeight="true" outlineLevel="0" collapsed="false">
      <c r="B85" s="6"/>
      <c r="D85" s="26"/>
    </row>
    <row r="86" customFormat="false" ht="15" hidden="false" customHeight="true" outlineLevel="0" collapsed="false">
      <c r="B86" s="6"/>
      <c r="D86" s="26"/>
    </row>
    <row r="87" customFormat="false" ht="15" hidden="false" customHeight="true" outlineLevel="0" collapsed="false">
      <c r="B87" s="6"/>
      <c r="D87" s="26"/>
    </row>
    <row r="88" customFormat="false" ht="15" hidden="false" customHeight="true" outlineLevel="0" collapsed="false">
      <c r="B88" s="6"/>
      <c r="D88" s="26"/>
    </row>
    <row r="89" customFormat="false" ht="15" hidden="false" customHeight="true" outlineLevel="0" collapsed="false">
      <c r="B89" s="6"/>
      <c r="D89" s="26"/>
    </row>
    <row r="90" customFormat="false" ht="15" hidden="false" customHeight="true" outlineLevel="0" collapsed="false">
      <c r="B90" s="6"/>
      <c r="D90" s="26"/>
    </row>
    <row r="91" customFormat="false" ht="15" hidden="false" customHeight="true" outlineLevel="0" collapsed="false">
      <c r="B91" s="6"/>
      <c r="D91" s="26"/>
    </row>
    <row r="92" customFormat="false" ht="15" hidden="false" customHeight="true" outlineLevel="0" collapsed="false">
      <c r="B92" s="6"/>
      <c r="D92" s="26"/>
    </row>
    <row r="93" customFormat="false" ht="15" hidden="false" customHeight="true" outlineLevel="0" collapsed="false">
      <c r="B93" s="6"/>
      <c r="D93" s="26"/>
    </row>
    <row r="94" customFormat="false" ht="15" hidden="false" customHeight="true" outlineLevel="0" collapsed="false">
      <c r="B94" s="6"/>
      <c r="D94" s="26"/>
    </row>
    <row r="95" customFormat="false" ht="15" hidden="false" customHeight="true" outlineLevel="0" collapsed="false">
      <c r="B95" s="6"/>
      <c r="D95" s="26"/>
    </row>
    <row r="96" customFormat="false" ht="15" hidden="false" customHeight="true" outlineLevel="0" collapsed="false">
      <c r="B96" s="6"/>
      <c r="D96" s="26"/>
    </row>
    <row r="97" customFormat="false" ht="15" hidden="false" customHeight="true" outlineLevel="0" collapsed="false">
      <c r="B97" s="6"/>
      <c r="D97" s="26"/>
    </row>
    <row r="98" customFormat="false" ht="15" hidden="false" customHeight="true" outlineLevel="0" collapsed="false">
      <c r="B98" s="6"/>
      <c r="D98" s="26"/>
    </row>
    <row r="99" customFormat="false" ht="15" hidden="false" customHeight="true" outlineLevel="0" collapsed="false">
      <c r="B99" s="6"/>
      <c r="D99" s="26"/>
    </row>
    <row r="100" customFormat="false" ht="15" hidden="false" customHeight="false" outlineLevel="0" collapsed="false">
      <c r="D100" s="26"/>
    </row>
  </sheetData>
  <mergeCells count="1">
    <mergeCell ref="A1:E1"/>
  </mergeCells>
  <dataValidations count="1">
    <dataValidation allowBlank="true" errorStyle="stop" operator="between" showDropDown="false" showErrorMessage="false" showInputMessage="false" sqref="D4:D100" type="list">
      <formula1>Référentiel!$A$4:$A$100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36"/>
  <sheetViews>
    <sheetView showFormulas="false" showGridLines="true" showRowColHeaders="true" showZeros="true" rightToLeft="false" tabSelected="true" showOutlineSymbols="true" defaultGridColor="true" view="normal" topLeftCell="D3" colorId="64" zoomScale="100" zoomScaleNormal="100" zoomScalePageLayoutView="100" workbookViewId="0">
      <selection pane="topLeft" activeCell="S15" activeCellId="0" sqref="S15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26" min="3" style="0" width="13"/>
  </cols>
  <sheetData>
    <row r="1" customFormat="false" ht="17.25" hidden="false" customHeight="true" outlineLevel="0" collapsed="false">
      <c r="A1" s="7" t="s">
        <v>152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3" customFormat="false" ht="15" hidden="false" customHeight="true" outlineLevel="0" collapsed="false">
      <c r="A3" s="8" t="s">
        <v>64</v>
      </c>
      <c r="B3" s="8" t="s">
        <v>110</v>
      </c>
      <c r="C3" s="8" t="s">
        <v>120</v>
      </c>
      <c r="D3" s="8" t="s">
        <v>122</v>
      </c>
      <c r="E3" s="8" t="s">
        <v>123</v>
      </c>
      <c r="F3" s="8" t="s">
        <v>125</v>
      </c>
      <c r="G3" s="8" t="s">
        <v>127</v>
      </c>
      <c r="H3" s="8" t="s">
        <v>129</v>
      </c>
      <c r="I3" s="8" t="s">
        <v>131</v>
      </c>
      <c r="J3" s="8" t="s">
        <v>133</v>
      </c>
      <c r="K3" s="8" t="s">
        <v>134</v>
      </c>
      <c r="L3" s="8" t="s">
        <v>137</v>
      </c>
      <c r="M3" s="8" t="s">
        <v>138</v>
      </c>
      <c r="N3" s="8" t="s">
        <v>140</v>
      </c>
      <c r="O3" s="8" t="s">
        <v>141</v>
      </c>
      <c r="P3" s="8" t="s">
        <v>143</v>
      </c>
      <c r="Q3" s="8" t="s">
        <v>145</v>
      </c>
      <c r="R3" s="8" t="s">
        <v>147</v>
      </c>
      <c r="S3" s="8" t="s">
        <v>148</v>
      </c>
      <c r="T3" s="8" t="s">
        <v>150</v>
      </c>
    </row>
    <row r="4" customFormat="false" ht="15" hidden="false" customHeight="true" outlineLevel="0" collapsed="false">
      <c r="A4" s="13" t="s">
        <v>77</v>
      </c>
      <c r="B4" s="17" t="n">
        <f aca="false">COUNTIF(C4:XFD4,"P")+COUNTIF(C4:XFD4,"F")</f>
        <v>3</v>
      </c>
      <c r="O4" s="0" t="s">
        <v>33</v>
      </c>
      <c r="P4" s="0" t="s">
        <v>33</v>
      </c>
      <c r="T4" s="0" t="s">
        <v>33</v>
      </c>
    </row>
    <row r="5" customFormat="false" ht="15" hidden="false" customHeight="true" outlineLevel="0" collapsed="false">
      <c r="A5" s="13" t="s">
        <v>92</v>
      </c>
      <c r="B5" s="17" t="n">
        <f aca="false">COUNTIF(C5:XFD5,"P")+COUNTIF(C5:XFD5,"F")</f>
        <v>2</v>
      </c>
      <c r="R5" s="0" t="s">
        <v>33</v>
      </c>
      <c r="S5" s="0" t="s">
        <v>33</v>
      </c>
    </row>
    <row r="6" customFormat="false" ht="15" hidden="false" customHeight="true" outlineLevel="0" collapsed="false">
      <c r="A6" s="13" t="s">
        <v>74</v>
      </c>
      <c r="B6" s="17" t="n">
        <f aca="false">COUNTIF(C6:XFD6,"P")+COUNTIF(C6:XFD6,"F")</f>
        <v>3</v>
      </c>
      <c r="F6" s="0" t="s">
        <v>33</v>
      </c>
      <c r="H6" s="0" t="s">
        <v>33</v>
      </c>
      <c r="S6" s="0" t="s">
        <v>30</v>
      </c>
    </row>
    <row r="7" customFormat="false" ht="15" hidden="false" customHeight="true" outlineLevel="0" collapsed="false">
      <c r="A7" s="13" t="s">
        <v>84</v>
      </c>
      <c r="B7" s="17" t="n">
        <f aca="false">COUNTIF(C7:XFD7,"P")+COUNTIF(C7:XFD7,"F")</f>
        <v>10</v>
      </c>
      <c r="D7" s="0" t="s">
        <v>33</v>
      </c>
      <c r="E7" s="0" t="s">
        <v>33</v>
      </c>
      <c r="G7" s="0" t="s">
        <v>33</v>
      </c>
      <c r="H7" s="0" t="s">
        <v>33</v>
      </c>
      <c r="I7" s="0" t="s">
        <v>33</v>
      </c>
      <c r="K7" s="0" t="s">
        <v>33</v>
      </c>
      <c r="M7" s="0" t="s">
        <v>33</v>
      </c>
      <c r="O7" s="0" t="s">
        <v>33</v>
      </c>
      <c r="P7" s="0" t="s">
        <v>33</v>
      </c>
      <c r="T7" s="0" t="s">
        <v>33</v>
      </c>
    </row>
    <row r="8" customFormat="false" ht="15" hidden="false" customHeight="true" outlineLevel="0" collapsed="false">
      <c r="A8" s="13" t="s">
        <v>83</v>
      </c>
      <c r="B8" s="17" t="n">
        <f aca="false">COUNTIF(C8:XFD8,"P")+COUNTIF(C8:XFD8,"F")</f>
        <v>8</v>
      </c>
      <c r="M8" s="0" t="s">
        <v>33</v>
      </c>
      <c r="N8" s="0" t="s">
        <v>33</v>
      </c>
      <c r="O8" s="0" t="s">
        <v>33</v>
      </c>
      <c r="P8" s="0" t="s">
        <v>33</v>
      </c>
      <c r="Q8" s="0" t="s">
        <v>33</v>
      </c>
      <c r="R8" s="0" t="s">
        <v>33</v>
      </c>
      <c r="S8" s="0" t="s">
        <v>33</v>
      </c>
      <c r="T8" s="0" t="s">
        <v>33</v>
      </c>
    </row>
    <row r="9" customFormat="false" ht="15" hidden="false" customHeight="true" outlineLevel="0" collapsed="false">
      <c r="A9" s="13" t="s">
        <v>71</v>
      </c>
      <c r="B9" s="17" t="n">
        <f aca="false">COUNTIF(C9:XFD9,"P")+COUNTIF(C9:XFD9,"F")</f>
        <v>4</v>
      </c>
      <c r="D9" s="0" t="s">
        <v>33</v>
      </c>
      <c r="E9" s="0" t="s">
        <v>33</v>
      </c>
      <c r="K9" s="0" t="s">
        <v>33</v>
      </c>
      <c r="R9" s="0" t="s">
        <v>33</v>
      </c>
    </row>
    <row r="10" customFormat="false" ht="15" hidden="false" customHeight="true" outlineLevel="0" collapsed="false">
      <c r="A10" s="13" t="s">
        <v>86</v>
      </c>
      <c r="B10" s="17" t="n">
        <f aca="false">COUNTIF(C10:XFD10,"P")+COUNTIF(C10:XFD10,"F")</f>
        <v>11</v>
      </c>
      <c r="C10" s="0" t="s">
        <v>33</v>
      </c>
      <c r="F10" s="0" t="s">
        <v>33</v>
      </c>
      <c r="I10" s="0" t="s">
        <v>33</v>
      </c>
      <c r="J10" s="0" t="s">
        <v>33</v>
      </c>
      <c r="K10" s="0" t="s">
        <v>30</v>
      </c>
      <c r="L10" s="0" t="s">
        <v>30</v>
      </c>
      <c r="M10" s="0" t="s">
        <v>33</v>
      </c>
      <c r="N10" s="0" t="s">
        <v>33</v>
      </c>
      <c r="O10" s="0" t="s">
        <v>30</v>
      </c>
      <c r="P10" s="0" t="s">
        <v>33</v>
      </c>
      <c r="T10" s="0" t="s">
        <v>33</v>
      </c>
    </row>
    <row r="11" customFormat="false" ht="15" hidden="false" customHeight="true" outlineLevel="0" collapsed="false">
      <c r="A11" s="13" t="s">
        <v>82</v>
      </c>
      <c r="B11" s="17" t="n">
        <f aca="false">COUNTIF(C11:XFD11,"P")+COUNTIF(C11:XFD11,"F")</f>
        <v>0</v>
      </c>
    </row>
    <row r="12" customFormat="false" ht="15" hidden="false" customHeight="true" outlineLevel="0" collapsed="false">
      <c r="A12" s="13" t="s">
        <v>70</v>
      </c>
      <c r="B12" s="17" t="n">
        <f aca="false">COUNTIF(C12:XFD12,"P")+COUNTIF(C12:XFD12,"F")</f>
        <v>3</v>
      </c>
      <c r="L12" s="0" t="s">
        <v>33</v>
      </c>
      <c r="O12" s="0" t="s">
        <v>33</v>
      </c>
      <c r="S12" s="0" t="s">
        <v>33</v>
      </c>
    </row>
    <row r="13" customFormat="false" ht="15" hidden="false" customHeight="true" outlineLevel="0" collapsed="false">
      <c r="A13" s="13" t="s">
        <v>67</v>
      </c>
      <c r="B13" s="17" t="n">
        <f aca="false">COUNTIF(C13:XFD13,"P")+COUNTIF(C13:XFD13,"F")</f>
        <v>2</v>
      </c>
      <c r="R13" s="0" t="s">
        <v>33</v>
      </c>
      <c r="T13" s="0" t="s">
        <v>33</v>
      </c>
    </row>
    <row r="14" customFormat="false" ht="15" hidden="false" customHeight="true" outlineLevel="0" collapsed="false">
      <c r="A14" s="13" t="s">
        <v>90</v>
      </c>
      <c r="B14" s="17" t="n">
        <f aca="false">COUNTIF(C14:XFD14,"P")+COUNTIF(C14:XFD14,"F")</f>
        <v>3</v>
      </c>
      <c r="K14" s="0" t="s">
        <v>33</v>
      </c>
      <c r="P14" s="0" t="s">
        <v>30</v>
      </c>
      <c r="S14" s="0" t="s">
        <v>30</v>
      </c>
    </row>
    <row r="15" customFormat="false" ht="15" hidden="false" customHeight="true" outlineLevel="0" collapsed="false">
      <c r="A15" s="13" t="s">
        <v>78</v>
      </c>
      <c r="B15" s="17" t="n">
        <f aca="false">COUNTIF(C15:XFD15,"P")+COUNTIF(C15:XFD15,"F")</f>
        <v>6</v>
      </c>
      <c r="C15" s="0" t="s">
        <v>33</v>
      </c>
      <c r="D15" s="0" t="s">
        <v>30</v>
      </c>
      <c r="F15" s="0" t="s">
        <v>33</v>
      </c>
      <c r="G15" s="0" t="s">
        <v>33</v>
      </c>
      <c r="I15" s="0" t="s">
        <v>33</v>
      </c>
      <c r="S15" s="0" t="s">
        <v>33</v>
      </c>
    </row>
    <row r="16" customFormat="false" ht="15" hidden="false" customHeight="true" outlineLevel="0" collapsed="false">
      <c r="A16" s="13" t="s">
        <v>91</v>
      </c>
      <c r="B16" s="17" t="n">
        <f aca="false">COUNTIF(C16:XFD16,"P")+COUNTIF(C16:XFD16,"F")</f>
        <v>6</v>
      </c>
      <c r="K16" s="0" t="s">
        <v>33</v>
      </c>
      <c r="M16" s="0" t="s">
        <v>33</v>
      </c>
      <c r="N16" s="0" t="s">
        <v>33</v>
      </c>
      <c r="O16" s="0" t="s">
        <v>33</v>
      </c>
      <c r="P16" s="0" t="s">
        <v>33</v>
      </c>
      <c r="T16" s="0" t="s">
        <v>33</v>
      </c>
    </row>
    <row r="17" customFormat="false" ht="15" hidden="false" customHeight="true" outlineLevel="0" collapsed="false">
      <c r="A17" s="13" t="s">
        <v>75</v>
      </c>
      <c r="B17" s="17" t="n">
        <f aca="false">COUNTIF(C17:XFD17,"P")+COUNTIF(C17:XFD17,"F")</f>
        <v>4</v>
      </c>
      <c r="E17" s="0" t="s">
        <v>33</v>
      </c>
      <c r="F17" s="0" t="s">
        <v>33</v>
      </c>
      <c r="M17" s="0" t="s">
        <v>33</v>
      </c>
      <c r="R17" s="0" t="s">
        <v>33</v>
      </c>
    </row>
    <row r="18" customFormat="false" ht="15" hidden="false" customHeight="true" outlineLevel="0" collapsed="false">
      <c r="A18" s="13" t="s">
        <v>81</v>
      </c>
      <c r="B18" s="17" t="n">
        <f aca="false">COUNTIF(C18:XFD18,"P")+COUNTIF(C18:XFD18,"F")</f>
        <v>4</v>
      </c>
      <c r="J18" s="0" t="s">
        <v>33</v>
      </c>
      <c r="K18" s="0" t="s">
        <v>33</v>
      </c>
      <c r="N18" s="0" t="s">
        <v>33</v>
      </c>
      <c r="R18" s="0" t="s">
        <v>33</v>
      </c>
    </row>
    <row r="19" customFormat="false" ht="15" hidden="false" customHeight="true" outlineLevel="0" collapsed="false">
      <c r="A19" s="13" t="s">
        <v>89</v>
      </c>
      <c r="B19" s="17" t="n">
        <f aca="false">COUNTIF(C19:XFD19,"P")+COUNTIF(C19:XFD19,"F")</f>
        <v>9</v>
      </c>
      <c r="D19" s="0" t="s">
        <v>33</v>
      </c>
      <c r="E19" s="0" t="s">
        <v>33</v>
      </c>
      <c r="G19" s="0" t="s">
        <v>30</v>
      </c>
      <c r="J19" s="0" t="s">
        <v>33</v>
      </c>
      <c r="K19" s="0" t="s">
        <v>33</v>
      </c>
      <c r="N19" s="0" t="s">
        <v>30</v>
      </c>
      <c r="R19" s="0" t="s">
        <v>33</v>
      </c>
      <c r="S19" s="0" t="s">
        <v>33</v>
      </c>
      <c r="T19" s="0" t="s">
        <v>30</v>
      </c>
    </row>
    <row r="20" customFormat="false" ht="15" hidden="false" customHeight="true" outlineLevel="0" collapsed="false">
      <c r="A20" s="13" t="s">
        <v>80</v>
      </c>
      <c r="B20" s="17" t="n">
        <f aca="false">COUNTIF(C20:XFD20,"P")+COUNTIF(C20:XFD20,"F")</f>
        <v>5</v>
      </c>
      <c r="C20" s="0" t="s">
        <v>33</v>
      </c>
      <c r="E20" s="0" t="s">
        <v>33</v>
      </c>
      <c r="H20" s="0" t="s">
        <v>33</v>
      </c>
      <c r="O20" s="0" t="s">
        <v>33</v>
      </c>
      <c r="S20" s="0" t="s">
        <v>33</v>
      </c>
    </row>
    <row r="21" customFormat="false" ht="15" hidden="false" customHeight="true" outlineLevel="0" collapsed="false">
      <c r="A21" s="13" t="s">
        <v>72</v>
      </c>
      <c r="B21" s="17" t="n">
        <f aca="false">COUNTIF(C21:XFD21,"P")+COUNTIF(C21:XFD21,"F")</f>
        <v>4</v>
      </c>
      <c r="C21" s="0" t="s">
        <v>33</v>
      </c>
      <c r="I21" s="0" t="s">
        <v>33</v>
      </c>
      <c r="N21" s="0" t="s">
        <v>33</v>
      </c>
      <c r="P21" s="0" t="s">
        <v>33</v>
      </c>
    </row>
    <row r="22" customFormat="false" ht="15" hidden="false" customHeight="true" outlineLevel="0" collapsed="false">
      <c r="A22" s="13" t="s">
        <v>73</v>
      </c>
      <c r="B22" s="17" t="n">
        <f aca="false">COUNTIF(C22:XFD22,"P")+COUNTIF(C22:XFD22,"F")</f>
        <v>5</v>
      </c>
      <c r="J22" s="0" t="s">
        <v>33</v>
      </c>
      <c r="M22" s="0" t="s">
        <v>33</v>
      </c>
      <c r="N22" s="0" t="s">
        <v>33</v>
      </c>
      <c r="O22" s="0" t="s">
        <v>33</v>
      </c>
      <c r="P22" s="0" t="s">
        <v>33</v>
      </c>
    </row>
    <row r="23" customFormat="false" ht="15" hidden="false" customHeight="true" outlineLevel="0" collapsed="false">
      <c r="A23" s="13" t="s">
        <v>69</v>
      </c>
      <c r="B23" s="17" t="n">
        <f aca="false">COUNTIF(C23:XFD23,"P")+COUNTIF(C23:XFD23,"F")</f>
        <v>5</v>
      </c>
      <c r="E23" s="0" t="s">
        <v>33</v>
      </c>
      <c r="F23" s="0" t="s">
        <v>33</v>
      </c>
      <c r="J23" s="0" t="s">
        <v>33</v>
      </c>
      <c r="K23" s="0" t="s">
        <v>30</v>
      </c>
      <c r="R23" s="0" t="s">
        <v>30</v>
      </c>
    </row>
    <row r="24" customFormat="false" ht="15" hidden="false" customHeight="true" outlineLevel="0" collapsed="false">
      <c r="A24" s="13" t="s">
        <v>76</v>
      </c>
      <c r="B24" s="17" t="n">
        <f aca="false">COUNTIF(C24:XFD24,"P")+COUNTIF(C24:XFD24,"F")</f>
        <v>1</v>
      </c>
      <c r="Q24" s="0" t="s">
        <v>33</v>
      </c>
    </row>
    <row r="25" customFormat="false" ht="15" hidden="false" customHeight="true" outlineLevel="0" collapsed="false">
      <c r="A25" s="13" t="s">
        <v>79</v>
      </c>
      <c r="B25" s="17" t="n">
        <f aca="false">COUNTIF(C25:XFD25,"P")+COUNTIF(C25:XFD25,"F")</f>
        <v>6</v>
      </c>
      <c r="D25" s="0" t="s">
        <v>33</v>
      </c>
      <c r="E25" s="0" t="s">
        <v>33</v>
      </c>
      <c r="F25" s="0" t="s">
        <v>33</v>
      </c>
      <c r="G25" s="0" t="s">
        <v>33</v>
      </c>
      <c r="H25" s="0" t="s">
        <v>33</v>
      </c>
      <c r="I25" s="0" t="s">
        <v>33</v>
      </c>
    </row>
    <row r="26" customFormat="false" ht="15" hidden="false" customHeight="true" outlineLevel="0" collapsed="false">
      <c r="A26" s="13" t="s">
        <v>87</v>
      </c>
      <c r="B26" s="17" t="n">
        <f aca="false">COUNTIF(C26:XFD26,"P")+COUNTIF(C26:XFD26,"F")</f>
        <v>1</v>
      </c>
      <c r="L26" s="0" t="s">
        <v>33</v>
      </c>
    </row>
    <row r="27" customFormat="false" ht="15" hidden="false" customHeight="true" outlineLevel="0" collapsed="false">
      <c r="A27" s="13" t="s">
        <v>88</v>
      </c>
      <c r="B27" s="17" t="n">
        <f aca="false">COUNTIF(C27:XFD27,"P")+COUNTIF(C27:XFD27,"F")</f>
        <v>1</v>
      </c>
      <c r="S27" s="0" t="s">
        <v>33</v>
      </c>
    </row>
    <row r="28" customFormat="false" ht="15" hidden="false" customHeight="true" outlineLevel="0" collapsed="false">
      <c r="A28" s="13" t="s">
        <v>85</v>
      </c>
      <c r="B28" s="17" t="n">
        <f aca="false">COUNTIF(C28:XFD28,"P")+COUNTIF(C28:XFD28,"F")</f>
        <v>7</v>
      </c>
      <c r="K28" s="0" t="s">
        <v>33</v>
      </c>
      <c r="M28" s="0" t="s">
        <v>33</v>
      </c>
      <c r="N28" s="0" t="s">
        <v>33</v>
      </c>
      <c r="O28" s="0" t="s">
        <v>33</v>
      </c>
      <c r="P28" s="0" t="s">
        <v>33</v>
      </c>
      <c r="Q28" s="0" t="s">
        <v>33</v>
      </c>
      <c r="T28" s="0" t="s">
        <v>33</v>
      </c>
    </row>
    <row r="29" customFormat="false" ht="15" hidden="false" customHeight="true" outlineLevel="0" collapsed="false">
      <c r="A29" s="13" t="s">
        <v>68</v>
      </c>
      <c r="B29" s="17" t="n">
        <f aca="false">COUNTIF(C29:XFD29,"P")+COUNTIF(C29:XFD29,"F")</f>
        <v>9</v>
      </c>
      <c r="C29" s="0" t="s">
        <v>33</v>
      </c>
      <c r="E29" s="0" t="s">
        <v>33</v>
      </c>
      <c r="H29" s="0" t="s">
        <v>33</v>
      </c>
      <c r="J29" s="0" t="s">
        <v>33</v>
      </c>
      <c r="K29" s="0" t="s">
        <v>33</v>
      </c>
      <c r="N29" s="0" t="s">
        <v>33</v>
      </c>
      <c r="O29" s="0" t="s">
        <v>33</v>
      </c>
      <c r="P29" s="0" t="s">
        <v>33</v>
      </c>
      <c r="Q29" s="0" t="s">
        <v>33</v>
      </c>
    </row>
    <row r="30" customFormat="false" ht="15" hidden="false" customHeight="true" outlineLevel="0" collapsed="false">
      <c r="A30" s="13" t="s">
        <v>93</v>
      </c>
      <c r="B30" s="17" t="n">
        <f aca="false">COUNTIF(C30:XFD30,"P")+COUNTIF(C30:XFD30,"F")</f>
        <v>1</v>
      </c>
      <c r="H30" s="0" t="s">
        <v>33</v>
      </c>
    </row>
    <row r="31" customFormat="false" ht="15" hidden="false" customHeight="true" outlineLevel="0" collapsed="false">
      <c r="A31" s="13" t="s">
        <v>94</v>
      </c>
      <c r="B31" s="17" t="n">
        <f aca="false">COUNTIF(C31:XFD31,"P")+COUNTIF(C31:XFD31,"F")</f>
        <v>2</v>
      </c>
      <c r="C31" s="0" t="s">
        <v>33</v>
      </c>
      <c r="H31" s="0" t="s">
        <v>33</v>
      </c>
    </row>
    <row r="32" customFormat="false" ht="15" hidden="false" customHeight="true" outlineLevel="0" collapsed="false">
      <c r="A32" s="13" t="s">
        <v>95</v>
      </c>
      <c r="B32" s="17" t="n">
        <f aca="false">COUNTIF(C32:XFD32,"P")+COUNTIF(C32:XFD32,"F")</f>
        <v>1</v>
      </c>
      <c r="D32" s="0" t="s">
        <v>33</v>
      </c>
    </row>
    <row r="33" customFormat="false" ht="15" hidden="false" customHeight="true" outlineLevel="0" collapsed="false">
      <c r="A33" s="13" t="s">
        <v>96</v>
      </c>
      <c r="B33" s="17" t="n">
        <f aca="false">COUNTIF(C33:XFD33,"P")+COUNTIF(C33:XFD33,"F")</f>
        <v>1</v>
      </c>
      <c r="D33" s="0" t="s">
        <v>33</v>
      </c>
    </row>
    <row r="34" customFormat="false" ht="15" hidden="false" customHeight="true" outlineLevel="0" collapsed="false">
      <c r="A34" s="13" t="s">
        <v>97</v>
      </c>
      <c r="B34" s="17" t="n">
        <f aca="false">COUNTIF(C34:XFD34,"P")+COUNTIF(C34:XFD34,"F")</f>
        <v>1</v>
      </c>
      <c r="H34" s="0" t="s">
        <v>33</v>
      </c>
    </row>
    <row r="35" customFormat="false" ht="15" hidden="false" customHeight="true" outlineLevel="0" collapsed="false">
      <c r="A35" s="13" t="s">
        <v>98</v>
      </c>
      <c r="B35" s="17" t="n">
        <f aca="false">COUNTIF(C35:XFD35,"P")+COUNTIF(C35:XFD35,"F")</f>
        <v>2</v>
      </c>
      <c r="E35" s="0" t="s">
        <v>33</v>
      </c>
      <c r="H35" s="0" t="s">
        <v>33</v>
      </c>
    </row>
    <row r="36" customFormat="false" ht="15" hidden="false" customHeight="true" outlineLevel="0" collapsed="false">
      <c r="A36" s="13" t="s">
        <v>99</v>
      </c>
      <c r="B36" s="17" t="n">
        <f aca="false">COUNTIF(C36:XFD36,"P")+COUNTIF(C36:XFD36,"F")</f>
        <v>15</v>
      </c>
      <c r="C36" s="0" t="s">
        <v>30</v>
      </c>
      <c r="D36" s="0" t="s">
        <v>33</v>
      </c>
      <c r="E36" s="0" t="s">
        <v>30</v>
      </c>
      <c r="F36" s="0" t="s">
        <v>30</v>
      </c>
      <c r="G36" s="0" t="s">
        <v>33</v>
      </c>
      <c r="H36" s="0" t="s">
        <v>30</v>
      </c>
      <c r="I36" s="0" t="s">
        <v>30</v>
      </c>
      <c r="J36" s="0" t="s">
        <v>30</v>
      </c>
      <c r="L36" s="0" t="s">
        <v>33</v>
      </c>
      <c r="M36" s="0" t="s">
        <v>30</v>
      </c>
      <c r="O36" s="0" t="s">
        <v>33</v>
      </c>
      <c r="Q36" s="0" t="s">
        <v>30</v>
      </c>
      <c r="R36" s="0" t="s">
        <v>33</v>
      </c>
      <c r="S36" s="0" t="s">
        <v>33</v>
      </c>
      <c r="T36" s="0" t="s">
        <v>33</v>
      </c>
    </row>
  </sheetData>
  <mergeCells count="1">
    <mergeCell ref="A1:AA1"/>
  </mergeCells>
  <conditionalFormatting sqref="C4:Z29">
    <cfRule type="cellIs" priority="2" operator="equal" aboveAverage="0" equalAverage="0" bottom="0" percent="0" rank="0" text="" dxfId="4">
      <formula>"F"</formula>
    </cfRule>
    <cfRule type="cellIs" priority="3" operator="equal" aboveAverage="0" equalAverage="0" bottom="0" percent="0" rank="0" text="" dxfId="0">
      <formula>"P"</formula>
    </cfRule>
  </conditionalFormatting>
  <conditionalFormatting sqref="C4:T36">
    <cfRule type="cellIs" priority="4" operator="equal" aboveAverage="0" equalAverage="0" bottom="0" percent="0" rank="0" text="" dxfId="4">
      <formula>"F"</formula>
    </cfRule>
    <cfRule type="cellIs" priority="5" operator="equal" aboveAverage="0" equalAverage="0" bottom="0" percent="0" rank="0" text="" dxfId="0">
      <formula>"P"</formula>
    </cfRule>
  </conditionalFormatting>
  <dataValidations count="1">
    <dataValidation allowBlank="true" errorStyle="stop" operator="between" showDropDown="false" showErrorMessage="false" showInputMessage="false" sqref="C4:Z29 C30:T36" type="list">
      <formula1>"F,P"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6796875" defaultRowHeight="15" zeroHeight="false" outlineLevelRow="0" outlineLevelCol="0"/>
  <sheetData>
    <row r="1" customFormat="false" ht="15.75" hidden="false" customHeight="true" outlineLevel="0" collapsed="false">
      <c r="A1" s="1" t="s">
        <v>153</v>
      </c>
    </row>
    <row r="3" customFormat="false" ht="15.75" hidden="false" customHeight="true" outlineLevel="0" collapsed="false">
      <c r="A3" s="1" t="s">
        <v>154</v>
      </c>
    </row>
    <row r="5" customFormat="false" ht="15.75" hidden="false" customHeight="true" outlineLevel="0" collapsed="false">
      <c r="A5" s="1" t="s">
        <v>155</v>
      </c>
    </row>
    <row r="7" customFormat="false" ht="15.75" hidden="false" customHeight="true" outlineLevel="0" collapsed="false">
      <c r="A7" s="1" t="s">
        <v>101</v>
      </c>
      <c r="B7" s="1" t="s">
        <v>156</v>
      </c>
      <c r="C7" s="1" t="s">
        <v>157</v>
      </c>
      <c r="D7" s="1" t="s">
        <v>64</v>
      </c>
      <c r="E7" s="1" t="s">
        <v>158</v>
      </c>
      <c r="F7" s="1" t="s">
        <v>159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6796875" defaultRowHeight="15" zeroHeight="false" outlineLevelRow="0" outlineLevelCol="0"/>
  <sheetData>
    <row r="1" customFormat="false" ht="15.75" hidden="false" customHeight="true" outlineLevel="0" collapsed="false">
      <c r="A1" s="1" t="s">
        <v>160</v>
      </c>
    </row>
    <row r="3" customFormat="false" ht="15.75" hidden="false" customHeight="true" outlineLevel="0" collapsed="false">
      <c r="A3" s="1" t="s">
        <v>161</v>
      </c>
    </row>
    <row r="5" customFormat="false" ht="15.75" hidden="false" customHeight="true" outlineLevel="0" collapsed="false">
      <c r="A5" s="1" t="s">
        <v>162</v>
      </c>
      <c r="B5" s="1" t="s">
        <v>163</v>
      </c>
      <c r="C5" s="1" t="s">
        <v>164</v>
      </c>
      <c r="D5" s="1" t="s">
        <v>165</v>
      </c>
      <c r="E5" s="1" t="s">
        <v>166</v>
      </c>
      <c r="F5" s="1" t="s">
        <v>167</v>
      </c>
      <c r="G5" s="1" t="s">
        <v>168</v>
      </c>
    </row>
    <row r="6" customFormat="false" ht="15.75" hidden="false" customHeight="true" outlineLevel="0" collapsed="false">
      <c r="A6" s="1" t="s">
        <v>169</v>
      </c>
      <c r="B6" s="1" t="n">
        <f aca="false">COUNTIF('Saisie 2026-02'!W4:W29,"Atteint")+COUNTIF('Saisie 2026-02'!W4:W29,"Sous objectif")</f>
        <v>24</v>
      </c>
      <c r="C6" s="1" t="n">
        <f aca="false">SUM('Saisie 2026-02'!V4:V29)</f>
        <v>73</v>
      </c>
      <c r="D6" s="1" t="n">
        <f aca="false">IFERROR(COUNTIF('Saisie 2026-02'!W4:W29,"Atteint")/(COUNTIF('Saisie 2026-02'!W4:W29,"Atteint")+COUNTIF('Saisie 2026-02'!W4:W29,"Sous objectif")),0)</f>
        <v>0.625</v>
      </c>
      <c r="E6" s="1" t="n">
        <f aca="false">IFERROR(SUM('Saisie 2026-02'!V4:V29)/(COUNTIF('Saisie 2026-02'!W4:W29,"Atteint")+COUNTIF('Saisie 2026-02'!W4:W29,"Sous objectif")),0)</f>
        <v>3.04166666666667</v>
      </c>
      <c r="F6" s="1" t="n">
        <f aca="false">COUNTIF('Saisie 2026-02'!V4:V29,"&gt;=1")</f>
        <v>20</v>
      </c>
      <c r="G6" s="1" t="s">
        <v>170</v>
      </c>
    </row>
    <row r="7" customFormat="false" ht="15.75" hidden="false" customHeight="true" outlineLevel="0" collapsed="false">
      <c r="A7" s="1" t="s">
        <v>171</v>
      </c>
      <c r="B7" s="1" t="n">
        <f aca="false">COUNTIF('Saisie 2026-03'!Y4:Y29,"Atteint")+COUNTIF('Saisie 2026-03'!Y4:Y29,"Sous objectif")</f>
        <v>25</v>
      </c>
      <c r="C7" s="1" t="n">
        <f aca="false">SUM('Saisie 2026-03'!X4:X29)</f>
        <v>72</v>
      </c>
      <c r="D7" s="1" t="n">
        <f aca="false">IFERROR(COUNTIF('Saisie 2026-03'!Y4:Y29,"Atteint")/(COUNTIF('Saisie 2026-03'!Y4:Y29,"Atteint")+COUNTIF('Saisie 2026-03'!Y4:Y29,"Sous objectif")),0)</f>
        <v>0.6</v>
      </c>
      <c r="E7" s="1" t="n">
        <f aca="false">IFERROR(SUM('Saisie 2026-03'!X4:X29)/(COUNTIF('Saisie 2026-03'!Y4:Y29,"Atteint")+COUNTIF('Saisie 2026-03'!Y4:Y29,"Sous objectif")),0)</f>
        <v>2.88</v>
      </c>
      <c r="F7" s="1" t="n">
        <f aca="false">COUNTIF('Saisie 2026-03'!X4:X29,"&gt;=1")</f>
        <v>23</v>
      </c>
      <c r="G7" s="1" t="s">
        <v>170</v>
      </c>
    </row>
    <row r="8" customFormat="false" ht="15.75" hidden="false" customHeight="true" outlineLevel="0" collapsed="false">
      <c r="A8" s="1" t="s">
        <v>172</v>
      </c>
      <c r="B8" s="1" t="n">
        <f aca="false">COUNTIF('Saisie 2026-04'!Y4:Y29,"Atteint")+COUNTIF('Saisie 2026-04'!Y4:Y29,"Sous objectif")</f>
        <v>26</v>
      </c>
      <c r="C8" s="1" t="n">
        <f aca="false">SUM('Saisie 2026-04'!X4:X29)</f>
        <v>82</v>
      </c>
      <c r="D8" s="1" t="n">
        <f aca="false">IFERROR(COUNTIF('Saisie 2026-04'!Y4:Y29,"Atteint")/(COUNTIF('Saisie 2026-04'!Y4:Y29,"Atteint")+COUNTIF('Saisie 2026-04'!Y4:Y29,"Sous objectif")),0)</f>
        <v>0.846153846153846</v>
      </c>
      <c r="E8" s="1" t="n">
        <f aca="false">IFERROR(SUM('Saisie 2026-04'!X4:X29)/(COUNTIF('Saisie 2026-04'!Y4:Y29,"Atteint")+COUNTIF('Saisie 2026-04'!Y4:Y29,"Sous objectif")),0)</f>
        <v>3.15384615384615</v>
      </c>
      <c r="F8" s="1" t="n">
        <f aca="false">COUNTIF('Saisie 2026-04'!X4:X29,"&gt;=1")</f>
        <v>26</v>
      </c>
      <c r="G8" s="1" t="s">
        <v>170</v>
      </c>
    </row>
    <row r="9" customFormat="false" ht="15.75" hidden="false" customHeight="true" outlineLevel="0" collapsed="false">
      <c r="A9" s="1" t="s">
        <v>173</v>
      </c>
      <c r="B9" s="1" t="n">
        <f aca="false">COUNTIF('Saisie 2026-05'!U4:U29,"Atteint")+COUNTIF('Saisie 2026-05'!U4:U29,"Sous objectif")</f>
        <v>26</v>
      </c>
      <c r="C9" s="1" t="n">
        <f aca="false">SUM('Saisie 2026-05'!T4:T29)</f>
        <v>81</v>
      </c>
      <c r="D9" s="1" t="n">
        <f aca="false">IFERROR(COUNTIF('Saisie 2026-05'!U4:U29,"Atteint")/(COUNTIF('Saisie 2026-05'!U4:U29,"Atteint")+COUNTIF('Saisie 2026-05'!U4:U29,"Sous objectif")),0)</f>
        <v>0.538461538461538</v>
      </c>
      <c r="E9" s="1" t="n">
        <f aca="false">IFERROR(SUM('Saisie 2026-05'!T4:T29)/(COUNTIF('Saisie 2026-05'!U4:U29,"Atteint")+COUNTIF('Saisie 2026-05'!U4:U29,"Sous objectif")),0)</f>
        <v>3.11538461538462</v>
      </c>
      <c r="F9" s="1" t="n">
        <f aca="false">COUNTIF('Saisie 2026-05'!T4:T29,"&gt;=1")</f>
        <v>24</v>
      </c>
      <c r="G9" s="1" t="s">
        <v>170</v>
      </c>
    </row>
    <row r="10" customFormat="false" ht="15.75" hidden="false" customHeight="true" outlineLevel="0" collapsed="false">
      <c r="A10" s="1" t="s">
        <v>174</v>
      </c>
      <c r="B10" s="1" t="n">
        <f aca="false">COUNTIF('Saisie 2026-06'!Y4:Y30,"Atteint")+COUNTIF('Saisie 2026-06'!Y4:Y30,"Sous objectif")</f>
        <v>26</v>
      </c>
      <c r="C10" s="1" t="n">
        <f aca="false">SUM('Saisie 2026-06'!X4:X30)</f>
        <v>3</v>
      </c>
      <c r="D10" s="1" t="n">
        <f aca="false">IFERROR(COUNTIF('Saisie 2026-06'!Y4:Y30,"Atteint")/(COUNTIF('Saisie 2026-06'!Y4:Y30,"Atteint")+COUNTIF('Saisie 2026-06'!Y4:Y30,"Sous objectif")),0)</f>
        <v>0</v>
      </c>
      <c r="E10" s="1" t="n">
        <f aca="false">IFERROR(SUM('Saisie 2026-06'!X4:X30)/(COUNTIF('Saisie 2026-06'!Y4:Y30,"Atteint")+COUNTIF('Saisie 2026-06'!Y4:Y30,"Sous objectif")),0)</f>
        <v>0.115384615384615</v>
      </c>
      <c r="F10" s="1" t="n">
        <f aca="false">COUNTIF('Saisie 2026-06'!X4:X30,"&gt;=1")</f>
        <v>3</v>
      </c>
      <c r="G10" s="1" t="s">
        <v>170</v>
      </c>
    </row>
    <row r="11" customFormat="false" ht="15.75" hidden="false" customHeight="true" outlineLevel="0" collapsed="false">
      <c r="A11" s="1" t="s">
        <v>175</v>
      </c>
      <c r="B11" s="1" t="n">
        <f aca="false">AVERAGE(B8:B10)</f>
        <v>26</v>
      </c>
      <c r="C11" s="1" t="n">
        <f aca="false">AVERAGE(C8:C10)</f>
        <v>55.3333333333333</v>
      </c>
      <c r="D11" s="1" t="n">
        <f aca="false">AVERAGE(D8:D10)</f>
        <v>0.461538461538462</v>
      </c>
      <c r="E11" s="1" t="n">
        <f aca="false">AVERAGE(E8:E10)</f>
        <v>2.12820512820513</v>
      </c>
      <c r="F11" s="1" t="n">
        <f aca="false">AVERAGE(F8:F10)</f>
        <v>17.6666666666667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6796875" defaultRowHeight="15" zeroHeight="false" outlineLevelRow="0" outlineLevelCol="0"/>
  <sheetData>
    <row r="1" customFormat="false" ht="15.75" hidden="false" customHeight="true" outlineLevel="0" collapsed="false">
      <c r="A1" s="1" t="s">
        <v>176</v>
      </c>
    </row>
    <row r="3" customFormat="false" ht="15.75" hidden="false" customHeight="true" outlineLevel="0" collapsed="false">
      <c r="A3" s="1" t="s">
        <v>177</v>
      </c>
    </row>
    <row r="5" customFormat="false" ht="15.75" hidden="false" customHeight="true" outlineLevel="0" collapsed="false">
      <c r="A5" s="1" t="s">
        <v>64</v>
      </c>
      <c r="B5" s="1" t="s">
        <v>178</v>
      </c>
      <c r="C5" s="1" t="s">
        <v>171</v>
      </c>
      <c r="D5" s="1" t="s">
        <v>179</v>
      </c>
      <c r="E5" s="1" t="s">
        <v>173</v>
      </c>
      <c r="F5" s="1" t="s">
        <v>174</v>
      </c>
      <c r="G5" s="1" t="s">
        <v>180</v>
      </c>
      <c r="H5" s="1" t="s">
        <v>181</v>
      </c>
    </row>
    <row r="6" customFormat="false" ht="15.75" hidden="false" customHeight="true" outlineLevel="0" collapsed="false">
      <c r="A6" s="1" t="s">
        <v>77</v>
      </c>
      <c r="B6" s="1" t="n">
        <f aca="false">IF('Saisie 2026-02'!W4="N/A absence longue","M",'Saisie 2026-02'!V4)</f>
        <v>3</v>
      </c>
      <c r="C6" s="1" t="n">
        <f aca="false">IF('Saisie 2026-03'!Y4="N/A absence longue","M",'Saisie 2026-03'!X4)</f>
        <v>3</v>
      </c>
      <c r="D6" s="1" t="n">
        <f aca="false">IF('Saisie 2026-04'!Y4="N/A absence longue","M",'Saisie 2026-04'!X4)</f>
        <v>2</v>
      </c>
      <c r="E6" s="1" t="n">
        <f aca="false">IF('Saisie 2026-05'!U4="N/A absence longue","M",'Saisie 2026-05'!T4)</f>
        <v>3</v>
      </c>
      <c r="F6" s="1" t="n">
        <f aca="false">IF('Saisie 2026-06'!Y4="N/A absence longue","M",'Saisie 2026-06'!X4)</f>
        <v>0</v>
      </c>
      <c r="G6" s="1" t="n">
        <f aca="false">COUNTIF(B6:F6,"&gt;=2")</f>
        <v>4</v>
      </c>
      <c r="H6" s="1" t="str">
        <f aca="false">IF(G6=5,"5/5 ✓",IF(G6=0,"0/5 ⚠⚠",IF(G6&lt;=1,G6&amp;"/5 ⚠",G6&amp;"/5")))</f>
        <v>4/5</v>
      </c>
    </row>
    <row r="7" customFormat="false" ht="15.75" hidden="false" customHeight="true" outlineLevel="0" collapsed="false">
      <c r="A7" s="1" t="s">
        <v>92</v>
      </c>
      <c r="B7" s="1" t="str">
        <f aca="false">IF('Saisie 2026-02'!W5="N/A absence longue","M",'Saisie 2026-02'!V5)</f>
        <v>M</v>
      </c>
      <c r="C7" s="1" t="str">
        <f aca="false">IF('Saisie 2026-03'!Y5="N/A absence longue","M",'Saisie 2026-03'!X5)</f>
        <v>M</v>
      </c>
      <c r="D7" s="1" t="n">
        <f aca="false">IF('Saisie 2026-04'!Y5="N/A absence longue","M",'Saisie 2026-04'!X5)</f>
        <v>11</v>
      </c>
      <c r="E7" s="1" t="n">
        <f aca="false">IF('Saisie 2026-05'!U5="N/A absence longue","M",'Saisie 2026-05'!T5)</f>
        <v>8</v>
      </c>
      <c r="F7" s="1" t="n">
        <f aca="false">IF('Saisie 2026-06'!Y5="N/A absence longue","M",'Saisie 2026-06'!X5)</f>
        <v>1</v>
      </c>
      <c r="G7" s="1" t="n">
        <f aca="false">COUNTIF(B7:F7,"&gt;=2")</f>
        <v>2</v>
      </c>
      <c r="H7" s="1" t="str">
        <f aca="false">IF(G7=5,"5/5 ✓",IF(G7=0,"0/5 ⚠⚠",IF(G7&lt;=1,G7&amp;"/5 ⚠",G7&amp;"/5")))</f>
        <v>2/5</v>
      </c>
    </row>
    <row r="8" customFormat="false" ht="15.75" hidden="false" customHeight="true" outlineLevel="0" collapsed="false">
      <c r="A8" s="1" t="s">
        <v>74</v>
      </c>
      <c r="B8" s="1" t="n">
        <f aca="false">IF('Saisie 2026-02'!W6="N/A absence longue","M",'Saisie 2026-02'!V6)</f>
        <v>1</v>
      </c>
      <c r="C8" s="1" t="n">
        <f aca="false">IF('Saisie 2026-03'!Y6="N/A absence longue","M",'Saisie 2026-03'!X6)</f>
        <v>0</v>
      </c>
      <c r="D8" s="1" t="n">
        <f aca="false">IF('Saisie 2026-04'!Y6="N/A absence longue","M",'Saisie 2026-04'!X6)</f>
        <v>1</v>
      </c>
      <c r="E8" s="1" t="n">
        <f aca="false">IF('Saisie 2026-05'!U6="N/A absence longue","M",'Saisie 2026-05'!T6)</f>
        <v>1</v>
      </c>
      <c r="F8" s="1" t="n">
        <f aca="false">IF('Saisie 2026-06'!Y6="N/A absence longue","M",'Saisie 2026-06'!X6)</f>
        <v>0</v>
      </c>
      <c r="G8" s="1" t="n">
        <f aca="false">COUNTIF(B8:F8,"&gt;=2")</f>
        <v>0</v>
      </c>
      <c r="H8" s="1" t="str">
        <f aca="false">IF(G8=5,"5/5 ✓",IF(G8=0,"0/5 ⚠⚠",IF(G8&lt;=1,G8&amp;"/5 ⚠",G8&amp;"/5")))</f>
        <v>0/5 ⚠⚠</v>
      </c>
    </row>
    <row r="9" customFormat="false" ht="15.75" hidden="false" customHeight="true" outlineLevel="0" collapsed="false">
      <c r="A9" s="1" t="s">
        <v>84</v>
      </c>
      <c r="B9" s="1" t="n">
        <f aca="false">IF('Saisie 2026-02'!W7="N/A absence longue","M",'Saisie 2026-02'!V7)</f>
        <v>5</v>
      </c>
      <c r="C9" s="1" t="n">
        <f aca="false">IF('Saisie 2026-03'!Y7="N/A absence longue","M",'Saisie 2026-03'!X7)</f>
        <v>6</v>
      </c>
      <c r="D9" s="1" t="n">
        <f aca="false">IF('Saisie 2026-04'!Y7="N/A absence longue","M",'Saisie 2026-04'!X7)</f>
        <v>4</v>
      </c>
      <c r="E9" s="1" t="n">
        <f aca="false">IF('Saisie 2026-05'!U7="N/A absence longue","M",'Saisie 2026-05'!T7)</f>
        <v>5</v>
      </c>
      <c r="F9" s="1" t="n">
        <f aca="false">IF('Saisie 2026-06'!Y7="N/A absence longue","M",'Saisie 2026-06'!X7)</f>
        <v>0</v>
      </c>
      <c r="G9" s="1" t="n">
        <f aca="false">COUNTIF(B9:F9,"&gt;=2")</f>
        <v>4</v>
      </c>
      <c r="H9" s="1" t="str">
        <f aca="false">IF(G9=5,"5/5 ✓",IF(G9=0,"0/5 ⚠⚠",IF(G9&lt;=1,G9&amp;"/5 ⚠",G9&amp;"/5")))</f>
        <v>4/5</v>
      </c>
    </row>
    <row r="10" customFormat="false" ht="15.75" hidden="false" customHeight="true" outlineLevel="0" collapsed="false">
      <c r="A10" s="1" t="s">
        <v>83</v>
      </c>
      <c r="B10" s="1" t="n">
        <f aca="false">IF('Saisie 2026-02'!W8="N/A absence longue","M",'Saisie 2026-02'!V8)</f>
        <v>11</v>
      </c>
      <c r="C10" s="1" t="n">
        <f aca="false">IF('Saisie 2026-03'!Y8="N/A absence longue","M",'Saisie 2026-03'!X8)</f>
        <v>12</v>
      </c>
      <c r="D10" s="1" t="n">
        <f aca="false">IF('Saisie 2026-04'!Y8="N/A absence longue","M",'Saisie 2026-04'!X8)</f>
        <v>12</v>
      </c>
      <c r="E10" s="1" t="n">
        <f aca="false">IF('Saisie 2026-05'!U8="N/A absence longue","M",'Saisie 2026-05'!T8)</f>
        <v>11</v>
      </c>
      <c r="F10" s="1" t="n">
        <f aca="false">IF('Saisie 2026-06'!Y9="N/A absence longue","M",'Saisie 2026-06'!X9)</f>
        <v>0</v>
      </c>
      <c r="G10" s="1" t="n">
        <f aca="false">COUNTIF(B10:F10,"&gt;=2")</f>
        <v>4</v>
      </c>
      <c r="H10" s="1" t="str">
        <f aca="false">IF(G10=5,"5/5 ✓",IF(G10=0,"0/5 ⚠⚠",IF(G10&lt;=1,G10&amp;"/5 ⚠",G10&amp;"/5")))</f>
        <v>4/5</v>
      </c>
    </row>
    <row r="11" customFormat="false" ht="15.75" hidden="false" customHeight="true" outlineLevel="0" collapsed="false">
      <c r="A11" s="1" t="s">
        <v>71</v>
      </c>
      <c r="B11" s="1" t="n">
        <f aca="false">IF('Saisie 2026-02'!W9="N/A absence longue","M",'Saisie 2026-02'!V9)</f>
        <v>1</v>
      </c>
      <c r="C11" s="1" t="n">
        <f aca="false">IF('Saisie 2026-03'!Y9="N/A absence longue","M",'Saisie 2026-03'!X9)</f>
        <v>1</v>
      </c>
      <c r="D11" s="1" t="n">
        <f aca="false">IF('Saisie 2026-04'!Y9="N/A absence longue","M",'Saisie 2026-04'!X9)</f>
        <v>2</v>
      </c>
      <c r="E11" s="1" t="n">
        <f aca="false">IF('Saisie 2026-05'!U9="N/A absence longue","M",'Saisie 2026-05'!T9)</f>
        <v>10</v>
      </c>
      <c r="F11" s="1" t="n">
        <f aca="false">IF('Saisie 2026-06'!Y10="N/A absence longue","M",'Saisie 2026-06'!X10)</f>
        <v>1</v>
      </c>
      <c r="G11" s="1" t="n">
        <f aca="false">COUNTIF(B11:F11,"&gt;=2")</f>
        <v>2</v>
      </c>
      <c r="H11" s="1" t="str">
        <f aca="false">IF(G11=5,"5/5 ✓",IF(G11=0,"0/5 ⚠⚠",IF(G11&lt;=1,G11&amp;"/5 ⚠",G11&amp;"/5")))</f>
        <v>2/5</v>
      </c>
    </row>
    <row r="12" customFormat="false" ht="15.75" hidden="false" customHeight="true" outlineLevel="0" collapsed="false">
      <c r="A12" s="1" t="s">
        <v>82</v>
      </c>
      <c r="B12" s="1" t="n">
        <f aca="false">IF('Saisie 2026-02'!W10="N/A absence longue","M",'Saisie 2026-02'!V10)</f>
        <v>8</v>
      </c>
      <c r="C12" s="1" t="n">
        <f aca="false">IF('Saisie 2026-03'!Y10="N/A absence longue","M",'Saisie 2026-03'!X10)</f>
        <v>7</v>
      </c>
      <c r="D12" s="1" t="n">
        <f aca="false">IF('Saisie 2026-04'!Y10="N/A absence longue","M",'Saisie 2026-04'!X10)</f>
        <v>6</v>
      </c>
      <c r="E12" s="1" t="n">
        <f aca="false">IF('Saisie 2026-05'!U10="N/A absence longue","M",'Saisie 2026-05'!T10)</f>
        <v>6</v>
      </c>
      <c r="F12" s="1" t="n">
        <f aca="false">IF('Saisie 2026-06'!Y11="N/A absence longue","M",'Saisie 2026-06'!X11)</f>
        <v>0</v>
      </c>
      <c r="G12" s="1" t="n">
        <f aca="false">COUNTIF(B12:F12,"&gt;=2")</f>
        <v>4</v>
      </c>
      <c r="H12" s="1" t="str">
        <f aca="false">IF(G12=5,"5/5 ✓",IF(G12=0,"0/5 ⚠⚠",IF(G12&lt;=1,G12&amp;"/5 ⚠",G12&amp;"/5")))</f>
        <v>4/5</v>
      </c>
    </row>
    <row r="13" customFormat="false" ht="15.75" hidden="false" customHeight="true" outlineLevel="0" collapsed="false">
      <c r="A13" s="1" t="s">
        <v>70</v>
      </c>
      <c r="B13" s="1" t="n">
        <f aca="false">IF('Saisie 2026-02'!W11="N/A absence longue","M",'Saisie 2026-02'!V11)</f>
        <v>0</v>
      </c>
      <c r="C13" s="1" t="n">
        <f aca="false">IF('Saisie 2026-03'!Y11="N/A absence longue","M",'Saisie 2026-03'!X11)</f>
        <v>2</v>
      </c>
      <c r="D13" s="1" t="n">
        <f aca="false">IF('Saisie 2026-04'!Y11="N/A absence longue","M",'Saisie 2026-04'!X11)</f>
        <v>2</v>
      </c>
      <c r="E13" s="1" t="n">
        <f aca="false">IF('Saisie 2026-05'!U11="N/A absence longue","M",'Saisie 2026-05'!T11)</f>
        <v>1</v>
      </c>
      <c r="F13" s="1" t="n">
        <f aca="false">IF('Saisie 2026-06'!Y12="N/A absence longue","M",'Saisie 2026-06'!X12)</f>
        <v>0</v>
      </c>
      <c r="G13" s="1" t="n">
        <f aca="false">COUNTIF(B13:F13,"&gt;=2")</f>
        <v>2</v>
      </c>
      <c r="H13" s="1" t="str">
        <f aca="false">IF(G13=5,"5/5 ✓",IF(G13=0,"0/5 ⚠⚠",IF(G13&lt;=1,G13&amp;"/5 ⚠",G13&amp;"/5")))</f>
        <v>2/5</v>
      </c>
    </row>
    <row r="14" customFormat="false" ht="15.75" hidden="false" customHeight="true" outlineLevel="0" collapsed="false">
      <c r="A14" s="1" t="s">
        <v>67</v>
      </c>
      <c r="B14" s="1" t="n">
        <f aca="false">IF('Saisie 2026-02'!W12="N/A absence longue","M",'Saisie 2026-02'!V12)</f>
        <v>4</v>
      </c>
      <c r="C14" s="1" t="n">
        <f aca="false">IF('Saisie 2026-03'!Y12="N/A absence longue","M",'Saisie 2026-03'!X12)</f>
        <v>1</v>
      </c>
      <c r="D14" s="1" t="n">
        <f aca="false">IF('Saisie 2026-04'!Y12="N/A absence longue","M",'Saisie 2026-04'!X12)</f>
        <v>1</v>
      </c>
      <c r="E14" s="1" t="n">
        <f aca="false">IF('Saisie 2026-05'!U12="N/A absence longue","M",'Saisie 2026-05'!T12)</f>
        <v>1</v>
      </c>
      <c r="F14" s="1" t="n">
        <f aca="false">IF('Saisie 2026-06'!Y13="N/A absence longue","M",'Saisie 2026-06'!X13)</f>
        <v>0</v>
      </c>
      <c r="G14" s="1" t="n">
        <f aca="false">COUNTIF(B14:F14,"&gt;=2")</f>
        <v>1</v>
      </c>
      <c r="H14" s="1" t="str">
        <f aca="false">IF(G14=5,"5/5 ✓",IF(G14=0,"0/5 ⚠⚠",IF(G14&lt;=1,G14&amp;"/5 ⚠",G14&amp;"/5")))</f>
        <v>1/5 ⚠</v>
      </c>
    </row>
    <row r="15" customFormat="false" ht="15.75" hidden="false" customHeight="true" outlineLevel="0" collapsed="false">
      <c r="A15" s="1" t="s">
        <v>90</v>
      </c>
      <c r="B15" s="1" t="n">
        <f aca="false">IF('Saisie 2026-02'!W13="N/A absence longue","M",'Saisie 2026-02'!V13)</f>
        <v>0</v>
      </c>
      <c r="C15" s="1" t="n">
        <f aca="false">IF('Saisie 2026-03'!Y13="N/A absence longue","M",'Saisie 2026-03'!X13)</f>
        <v>2</v>
      </c>
      <c r="D15" s="1" t="n">
        <f aca="false">IF('Saisie 2026-04'!Y13="N/A absence longue","M",'Saisie 2026-04'!X13)</f>
        <v>1</v>
      </c>
      <c r="E15" s="1" t="n">
        <f aca="false">IF('Saisie 2026-05'!U13="N/A absence longue","M",'Saisie 2026-05'!T13)</f>
        <v>1</v>
      </c>
      <c r="F15" s="1" t="n">
        <f aca="false">IF('Saisie 2026-06'!Y14="N/A absence longue","M",'Saisie 2026-06'!X14)</f>
        <v>0</v>
      </c>
      <c r="G15" s="1" t="n">
        <f aca="false">COUNTIF(B15:F15,"&gt;=2")</f>
        <v>1</v>
      </c>
      <c r="H15" s="1" t="str">
        <f aca="false">IF(G15=5,"5/5 ✓",IF(G15=0,"0/5 ⚠⚠",IF(G15&lt;=1,G15&amp;"/5 ⚠",G15&amp;"/5")))</f>
        <v>1/5 ⚠</v>
      </c>
    </row>
    <row r="16" customFormat="false" ht="15.75" hidden="false" customHeight="true" outlineLevel="0" collapsed="false">
      <c r="A16" s="1" t="s">
        <v>91</v>
      </c>
      <c r="B16" s="1" t="n">
        <f aca="false">IF('Saisie 2026-02'!W14="N/A absence longue","M",'Saisie 2026-02'!V14)</f>
        <v>3</v>
      </c>
      <c r="C16" s="1" t="n">
        <f aca="false">IF('Saisie 2026-03'!Y14="N/A absence longue","M",'Saisie 2026-03'!X14)</f>
        <v>2</v>
      </c>
      <c r="D16" s="1" t="n">
        <f aca="false">IF('Saisie 2026-04'!Y14="N/A absence longue","M",'Saisie 2026-04'!X14)</f>
        <v>2</v>
      </c>
      <c r="E16" s="1" t="n">
        <f aca="false">IF('Saisie 2026-05'!U14="N/A absence longue","M",'Saisie 2026-05'!T14)</f>
        <v>1</v>
      </c>
      <c r="F16" s="1" t="n">
        <f aca="false">IF('Saisie 2026-06'!Y15="N/A absence longue","M",'Saisie 2026-06'!X15)</f>
        <v>0</v>
      </c>
      <c r="G16" s="1" t="n">
        <f aca="false">COUNTIF(B16:F16,"&gt;=2")</f>
        <v>3</v>
      </c>
      <c r="H16" s="1" t="str">
        <f aca="false">IF(G16=5,"5/5 ✓",IF(G16=0,"0/5 ⚠⚠",IF(G16&lt;=1,G16&amp;"/5 ⚠",G16&amp;"/5")))</f>
        <v>3/5</v>
      </c>
    </row>
    <row r="17" customFormat="false" ht="15.75" hidden="false" customHeight="true" outlineLevel="0" collapsed="false">
      <c r="A17" s="1" t="s">
        <v>75</v>
      </c>
      <c r="B17" s="1" t="n">
        <f aca="false">IF('Saisie 2026-02'!W15="N/A absence longue","M",'Saisie 2026-02'!V15)</f>
        <v>2</v>
      </c>
      <c r="C17" s="1" t="n">
        <f aca="false">IF('Saisie 2026-03'!Y15="N/A absence longue","M",'Saisie 2026-03'!X15)</f>
        <v>5</v>
      </c>
      <c r="D17" s="1" t="n">
        <f aca="false">IF('Saisie 2026-04'!Y15="N/A absence longue","M",'Saisie 2026-04'!X15)</f>
        <v>4</v>
      </c>
      <c r="E17" s="1" t="n">
        <f aca="false">IF('Saisie 2026-05'!U15="N/A absence longue","M",'Saisie 2026-05'!T15)</f>
        <v>3</v>
      </c>
      <c r="F17" s="1" t="n">
        <f aca="false">IF('Saisie 2026-06'!Y16="N/A absence longue","M",'Saisie 2026-06'!X16)</f>
        <v>0</v>
      </c>
      <c r="G17" s="1" t="n">
        <f aca="false">COUNTIF(B17:F17,"&gt;=2")</f>
        <v>4</v>
      </c>
      <c r="H17" s="1" t="str">
        <f aca="false">IF(G17=5,"5/5 ✓",IF(G17=0,"0/5 ⚠⚠",IF(G17&lt;=1,G17&amp;"/5 ⚠",G17&amp;"/5")))</f>
        <v>4/5</v>
      </c>
    </row>
    <row r="18" customFormat="false" ht="15.75" hidden="false" customHeight="true" outlineLevel="0" collapsed="false">
      <c r="A18" s="1" t="s">
        <v>81</v>
      </c>
      <c r="B18" s="1" t="n">
        <f aca="false">IF('Saisie 2026-02'!W16="N/A absence longue","M",'Saisie 2026-02'!V16)</f>
        <v>3</v>
      </c>
      <c r="C18" s="1" t="n">
        <f aca="false">IF('Saisie 2026-03'!Y16="N/A absence longue","M",'Saisie 2026-03'!X16)</f>
        <v>4</v>
      </c>
      <c r="D18" s="1" t="n">
        <f aca="false">IF('Saisie 2026-04'!Y16="N/A absence longue","M",'Saisie 2026-04'!X16)</f>
        <v>2</v>
      </c>
      <c r="E18" s="1" t="n">
        <f aca="false">IF('Saisie 2026-05'!U16="N/A absence longue","M",'Saisie 2026-05'!T16)</f>
        <v>3</v>
      </c>
      <c r="F18" s="1" t="n">
        <f aca="false">IF('Saisie 2026-06'!Y17="N/A absence longue","M",'Saisie 2026-06'!X17)</f>
        <v>0</v>
      </c>
      <c r="G18" s="1" t="n">
        <f aca="false">COUNTIF(B18:F18,"&gt;=2")</f>
        <v>4</v>
      </c>
      <c r="H18" s="1" t="str">
        <f aca="false">IF(G18=5,"5/5 ✓",IF(G18=0,"0/5 ⚠⚠",IF(G18&lt;=1,G18&amp;"/5 ⚠",G18&amp;"/5")))</f>
        <v>4/5</v>
      </c>
    </row>
    <row r="19" customFormat="false" ht="15.75" hidden="false" customHeight="true" outlineLevel="0" collapsed="false">
      <c r="A19" s="1" t="s">
        <v>89</v>
      </c>
      <c r="B19" s="1" t="n">
        <f aca="false">IF('Saisie 2026-02'!W17="N/A absence longue","M",'Saisie 2026-02'!V17)</f>
        <v>0</v>
      </c>
      <c r="C19" s="1" t="n">
        <f aca="false">IF('Saisie 2026-03'!Y17="N/A absence longue","M",'Saisie 2026-03'!X17)</f>
        <v>1</v>
      </c>
      <c r="D19" s="1" t="n">
        <f aca="false">IF('Saisie 2026-04'!Y17="N/A absence longue","M",'Saisie 2026-04'!X17)</f>
        <v>3</v>
      </c>
      <c r="E19" s="1" t="n">
        <f aca="false">IF('Saisie 2026-05'!U17="N/A absence longue","M",'Saisie 2026-05'!T17)</f>
        <v>8</v>
      </c>
      <c r="F19" s="1" t="n">
        <f aca="false">IF('Saisie 2026-06'!Y18="N/A absence longue","M",'Saisie 2026-06'!X18)</f>
        <v>0</v>
      </c>
      <c r="G19" s="1" t="n">
        <f aca="false">COUNTIF(B19:F19,"&gt;=2")</f>
        <v>2</v>
      </c>
      <c r="H19" s="1" t="str">
        <f aca="false">IF(G19=5,"5/5 ✓",IF(G19=0,"0/5 ⚠⚠",IF(G19&lt;=1,G19&amp;"/5 ⚠",G19&amp;"/5")))</f>
        <v>2/5</v>
      </c>
    </row>
    <row r="20" customFormat="false" ht="15.75" hidden="false" customHeight="true" outlineLevel="0" collapsed="false">
      <c r="A20" s="1" t="s">
        <v>86</v>
      </c>
      <c r="B20" s="1" t="n">
        <f aca="false">IF('Saisie 2026-02'!W18="N/A absence longue","M",'Saisie 2026-02'!V18)</f>
        <v>3</v>
      </c>
      <c r="C20" s="1" t="n">
        <f aca="false">IF('Saisie 2026-03'!Y18="N/A absence longue","M",'Saisie 2026-03'!X18)</f>
        <v>1</v>
      </c>
      <c r="D20" s="1" t="n">
        <f aca="false">IF('Saisie 2026-04'!Y18="N/A absence longue","M",'Saisie 2026-04'!X18)</f>
        <v>2</v>
      </c>
      <c r="E20" s="1" t="n">
        <f aca="false">IF('Saisie 2026-05'!U18="N/A absence longue","M",'Saisie 2026-05'!T18)</f>
        <v>1</v>
      </c>
      <c r="F20" s="1" t="n">
        <f aca="false">IF('Saisie 2026-06'!Y19="N/A absence longue","M",'Saisie 2026-06'!X19)</f>
        <v>0</v>
      </c>
      <c r="G20" s="1" t="n">
        <f aca="false">COUNTIF(B20:F20,"&gt;=2")</f>
        <v>2</v>
      </c>
      <c r="H20" s="1" t="str">
        <f aca="false">IF(G20=5,"5/5 ✓",IF(G20=0,"0/5 ⚠⚠",IF(G20&lt;=1,G20&amp;"/5 ⚠",G20&amp;"/5")))</f>
        <v>2/5</v>
      </c>
    </row>
    <row r="21" customFormat="false" ht="15.75" hidden="false" customHeight="true" outlineLevel="0" collapsed="false">
      <c r="A21" s="1" t="s">
        <v>78</v>
      </c>
      <c r="B21" s="1" t="n">
        <f aca="false">IF('Saisie 2026-02'!W19="N/A absence longue","M",'Saisie 2026-02'!V19)</f>
        <v>1</v>
      </c>
      <c r="C21" s="1" t="n">
        <f aca="false">IF('Saisie 2026-03'!Y19="N/A absence longue","M",'Saisie 2026-03'!X19)</f>
        <v>1</v>
      </c>
      <c r="D21" s="1" t="n">
        <f aca="false">IF('Saisie 2026-04'!Y19="N/A absence longue","M",'Saisie 2026-04'!X19)</f>
        <v>3</v>
      </c>
      <c r="E21" s="1" t="n">
        <f aca="false">IF('Saisie 2026-05'!U19="N/A absence longue","M",'Saisie 2026-05'!T19)</f>
        <v>2</v>
      </c>
      <c r="F21" s="1" t="n">
        <f aca="false">IF('Saisie 2026-06'!Y20="N/A absence longue","M",'Saisie 2026-06'!X20)</f>
        <v>0</v>
      </c>
      <c r="G21" s="1" t="n">
        <f aca="false">COUNTIF(B21:F21,"&gt;=2")</f>
        <v>2</v>
      </c>
      <c r="H21" s="1" t="str">
        <f aca="false">IF(G21=5,"5/5 ✓",IF(G21=0,"0/5 ⚠⚠",IF(G21&lt;=1,G21&amp;"/5 ⚠",G21&amp;"/5")))</f>
        <v>2/5</v>
      </c>
    </row>
    <row r="22" customFormat="false" ht="15.75" hidden="false" customHeight="true" outlineLevel="0" collapsed="false">
      <c r="A22" s="1" t="s">
        <v>80</v>
      </c>
      <c r="B22" s="1" t="n">
        <f aca="false">IF('Saisie 2026-02'!W20="N/A absence longue","M",'Saisie 2026-02'!V20)</f>
        <v>2</v>
      </c>
      <c r="C22" s="1" t="n">
        <f aca="false">IF('Saisie 2026-03'!Y20="N/A absence longue","M",'Saisie 2026-03'!X20)</f>
        <v>4</v>
      </c>
      <c r="D22" s="1" t="n">
        <f aca="false">IF('Saisie 2026-04'!Y20="N/A absence longue","M",'Saisie 2026-04'!X20)</f>
        <v>3</v>
      </c>
      <c r="E22" s="1" t="n">
        <f aca="false">IF('Saisie 2026-05'!U20="N/A absence longue","M",'Saisie 2026-05'!T20)</f>
        <v>1</v>
      </c>
      <c r="F22" s="1" t="n">
        <f aca="false">IF('Saisie 2026-06'!Y21="N/A absence longue","M",'Saisie 2026-06'!X21)</f>
        <v>1</v>
      </c>
      <c r="G22" s="1" t="n">
        <f aca="false">COUNTIF(B22:F22,"&gt;=2")</f>
        <v>3</v>
      </c>
      <c r="H22" s="1" t="str">
        <f aca="false">IF(G22=5,"5/5 ✓",IF(G22=0,"0/5 ⚠⚠",IF(G22&lt;=1,G22&amp;"/5 ⚠",G22&amp;"/5")))</f>
        <v>3/5</v>
      </c>
    </row>
    <row r="23" customFormat="false" ht="15.75" hidden="false" customHeight="true" outlineLevel="0" collapsed="false">
      <c r="A23" s="1" t="s">
        <v>72</v>
      </c>
      <c r="B23" s="1" t="n">
        <f aca="false">IF('Saisie 2026-02'!W21="N/A absence longue","M",'Saisie 2026-02'!V21)</f>
        <v>2</v>
      </c>
      <c r="C23" s="1" t="n">
        <f aca="false">IF('Saisie 2026-03'!Y21="N/A absence longue","M",'Saisie 2026-03'!X21)</f>
        <v>4</v>
      </c>
      <c r="D23" s="1" t="n">
        <f aca="false">IF('Saisie 2026-04'!Y21="N/A absence longue","M",'Saisie 2026-04'!X21)</f>
        <v>3</v>
      </c>
      <c r="E23" s="1" t="n">
        <f aca="false">IF('Saisie 2026-05'!U21="N/A absence longue","M",'Saisie 2026-05'!T21)</f>
        <v>5</v>
      </c>
      <c r="F23" s="1" t="n">
        <f aca="false">IF('Saisie 2026-06'!Y22="N/A absence longue","M",'Saisie 2026-06'!X22)</f>
        <v>0</v>
      </c>
      <c r="G23" s="1" t="n">
        <f aca="false">COUNTIF(B23:F23,"&gt;=2")</f>
        <v>4</v>
      </c>
      <c r="H23" s="1" t="str">
        <f aca="false">IF(G23=5,"5/5 ✓",IF(G23=0,"0/5 ⚠⚠",IF(G23&lt;=1,G23&amp;"/5 ⚠",G23&amp;"/5")))</f>
        <v>4/5</v>
      </c>
    </row>
    <row r="24" customFormat="false" ht="15.75" hidden="false" customHeight="true" outlineLevel="0" collapsed="false">
      <c r="A24" s="1" t="s">
        <v>73</v>
      </c>
      <c r="B24" s="1" t="n">
        <f aca="false">IF('Saisie 2026-02'!W22="N/A absence longue","M",'Saisie 2026-02'!V22)</f>
        <v>2</v>
      </c>
      <c r="C24" s="1" t="n">
        <f aca="false">IF('Saisie 2026-03'!Y22="N/A absence longue","M",'Saisie 2026-03'!X22)</f>
        <v>1</v>
      </c>
      <c r="D24" s="1" t="n">
        <f aca="false">IF('Saisie 2026-04'!Y22="N/A absence longue","M",'Saisie 2026-04'!X22)</f>
        <v>2</v>
      </c>
      <c r="E24" s="1" t="n">
        <f aca="false">IF('Saisie 2026-05'!U22="N/A absence longue","M",'Saisie 2026-05'!T22)</f>
        <v>0</v>
      </c>
      <c r="F24" s="1" t="n">
        <f aca="false">IF('Saisie 2026-06'!Y23="N/A absence longue","M",'Saisie 2026-06'!X23)</f>
        <v>0</v>
      </c>
      <c r="G24" s="1" t="n">
        <f aca="false">COUNTIF(B24:F24,"&gt;=2")</f>
        <v>2</v>
      </c>
      <c r="H24" s="1" t="str">
        <f aca="false">IF(G24=5,"5/5 ✓",IF(G24=0,"0/5 ⚠⚠",IF(G24&lt;=1,G24&amp;"/5 ⚠",G24&amp;"/5")))</f>
        <v>2/5</v>
      </c>
    </row>
    <row r="25" customFormat="false" ht="15.75" hidden="false" customHeight="true" outlineLevel="0" collapsed="false">
      <c r="A25" s="1" t="s">
        <v>69</v>
      </c>
      <c r="B25" s="1" t="n">
        <f aca="false">IF('Saisie 2026-02'!W23="N/A absence longue","M",'Saisie 2026-02'!V23)</f>
        <v>1</v>
      </c>
      <c r="C25" s="1" t="n">
        <f aca="false">IF('Saisie 2026-03'!Y23="N/A absence longue","M",'Saisie 2026-03'!X23)</f>
        <v>1</v>
      </c>
      <c r="D25" s="1" t="n">
        <f aca="false">IF('Saisie 2026-04'!Y23="N/A absence longue","M",'Saisie 2026-04'!X23)</f>
        <v>2</v>
      </c>
      <c r="E25" s="1" t="n">
        <f aca="false">IF('Saisie 2026-05'!U23="N/A absence longue","M",'Saisie 2026-05'!T23)</f>
        <v>2</v>
      </c>
      <c r="F25" s="1" t="n">
        <f aca="false">IF('Saisie 2026-06'!Y24="N/A absence longue","M",'Saisie 2026-06'!X24)</f>
        <v>0</v>
      </c>
      <c r="G25" s="1" t="n">
        <f aca="false">COUNTIF(B25:F25,"&gt;=2")</f>
        <v>2</v>
      </c>
      <c r="H25" s="1" t="str">
        <f aca="false">IF(G25=5,"5/5 ✓",IF(G25=0,"0/5 ⚠⚠",IF(G25&lt;=1,G25&amp;"/5 ⚠",G25&amp;"/5")))</f>
        <v>2/5</v>
      </c>
    </row>
    <row r="26" customFormat="false" ht="15.75" hidden="false" customHeight="true" outlineLevel="0" collapsed="false">
      <c r="A26" s="1" t="s">
        <v>76</v>
      </c>
      <c r="B26" s="1" t="n">
        <f aca="false">IF('Saisie 2026-02'!W24="N/A absence longue","M",'Saisie 2026-02'!V24)</f>
        <v>0</v>
      </c>
      <c r="C26" s="1" t="n">
        <f aca="false">IF('Saisie 2026-03'!Y24="N/A absence longue","M",'Saisie 2026-03'!X24)</f>
        <v>4</v>
      </c>
      <c r="D26" s="1" t="n">
        <f aca="false">IF('Saisie 2026-04'!Y24="N/A absence longue","M",'Saisie 2026-04'!X24)</f>
        <v>2</v>
      </c>
      <c r="E26" s="1" t="n">
        <f aca="false">IF('Saisie 2026-05'!U24="N/A absence longue","M",'Saisie 2026-05'!T24)</f>
        <v>1</v>
      </c>
      <c r="F26" s="1" t="n">
        <f aca="false">IF('Saisie 2026-06'!Y25="N/A absence longue","M",'Saisie 2026-06'!X25)</f>
        <v>0</v>
      </c>
      <c r="G26" s="1" t="n">
        <f aca="false">COUNTIF(B26:F26,"&gt;=2")</f>
        <v>2</v>
      </c>
      <c r="H26" s="1" t="str">
        <f aca="false">IF(G26=5,"5/5 ✓",IF(G26=0,"0/5 ⚠⚠",IF(G26&lt;=1,G26&amp;"/5 ⚠",G26&amp;"/5")))</f>
        <v>2/5</v>
      </c>
    </row>
    <row r="27" customFormat="false" ht="15.75" hidden="false" customHeight="true" outlineLevel="0" collapsed="false">
      <c r="A27" s="1" t="s">
        <v>79</v>
      </c>
      <c r="B27" s="1" t="n">
        <f aca="false">IF('Saisie 2026-02'!W25="N/A absence longue","M",'Saisie 2026-02'!V25)</f>
        <v>11</v>
      </c>
      <c r="C27" s="1" t="n">
        <f aca="false">IF('Saisie 2026-03'!Y25="N/A absence longue","M",'Saisie 2026-03'!X25)</f>
        <v>1</v>
      </c>
      <c r="D27" s="1" t="n">
        <f aca="false">IF('Saisie 2026-04'!Y25="N/A absence longue","M",'Saisie 2026-04'!X25)</f>
        <v>2</v>
      </c>
      <c r="E27" s="1" t="n">
        <f aca="false">IF('Saisie 2026-05'!U25="N/A absence longue","M",'Saisie 2026-05'!T25)</f>
        <v>3</v>
      </c>
      <c r="F27" s="1" t="n">
        <f aca="false">IF('Saisie 2026-06'!Y26="N/A absence longue","M",'Saisie 2026-06'!X26)</f>
        <v>0</v>
      </c>
      <c r="G27" s="1" t="n">
        <f aca="false">COUNTIF(B27:F27,"&gt;=2")</f>
        <v>3</v>
      </c>
      <c r="H27" s="1" t="str">
        <f aca="false">IF(G27=5,"5/5 ✓",IF(G27=0,"0/5 ⚠⚠",IF(G27&lt;=1,G27&amp;"/5 ⚠",G27&amp;"/5")))</f>
        <v>3/5</v>
      </c>
    </row>
    <row r="28" customFormat="false" ht="15.75" hidden="false" customHeight="true" outlineLevel="0" collapsed="false">
      <c r="A28" s="1" t="s">
        <v>87</v>
      </c>
      <c r="B28" s="1" t="n">
        <f aca="false">IF('Saisie 2026-02'!W26="N/A absence longue","M",'Saisie 2026-02'!V26)</f>
        <v>1</v>
      </c>
      <c r="C28" s="1" t="n">
        <f aca="false">IF('Saisie 2026-03'!Y26="N/A absence longue","M",'Saisie 2026-03'!X26)</f>
        <v>0</v>
      </c>
      <c r="D28" s="1" t="n">
        <f aca="false">IF('Saisie 2026-04'!Y26="N/A absence longue","M",'Saisie 2026-04'!X26)</f>
        <v>1</v>
      </c>
      <c r="E28" s="1" t="n">
        <f aca="false">IF('Saisie 2026-05'!U26="N/A absence longue","M",'Saisie 2026-05'!T26)</f>
        <v>0</v>
      </c>
      <c r="F28" s="1" t="n">
        <f aca="false">IF('Saisie 2026-06'!Y27="N/A absence longue","M",'Saisie 2026-06'!X27)</f>
        <v>0</v>
      </c>
      <c r="G28" s="1" t="n">
        <f aca="false">COUNTIF(B28:F28,"&gt;=2")</f>
        <v>0</v>
      </c>
      <c r="H28" s="1" t="str">
        <f aca="false">IF(G28=5,"5/5 ✓",IF(G28=0,"0/5 ⚠⚠",IF(G28&lt;=1,G28&amp;"/5 ⚠",G28&amp;"/5")))</f>
        <v>0/5 ⚠⚠</v>
      </c>
    </row>
    <row r="29" customFormat="false" ht="15.75" hidden="false" customHeight="true" outlineLevel="0" collapsed="false">
      <c r="A29" s="1" t="s">
        <v>88</v>
      </c>
      <c r="B29" s="1" t="n">
        <f aca="false">IF('Saisie 2026-02'!W27="N/A absence longue","M",'Saisie 2026-02'!V27)</f>
        <v>5</v>
      </c>
      <c r="C29" s="1" t="n">
        <f aca="false">IF('Saisie 2026-03'!Y27="N/A absence longue","M",'Saisie 2026-03'!X27)</f>
        <v>2</v>
      </c>
      <c r="D29" s="1" t="n">
        <f aca="false">IF('Saisie 2026-04'!Y27="N/A absence longue","M",'Saisie 2026-04'!X27)</f>
        <v>2</v>
      </c>
      <c r="E29" s="1" t="n">
        <f aca="false">IF('Saisie 2026-05'!U27="N/A absence longue","M",'Saisie 2026-05'!T27)</f>
        <v>2</v>
      </c>
      <c r="F29" s="1" t="n">
        <f aca="false">IF('Saisie 2026-06'!Y28="N/A absence longue","M",'Saisie 2026-06'!X28)</f>
        <v>0</v>
      </c>
      <c r="G29" s="1" t="n">
        <f aca="false">COUNTIF(B29:F29,"&gt;=2")</f>
        <v>4</v>
      </c>
      <c r="H29" s="1" t="str">
        <f aca="false">IF(G29=5,"5/5 ✓",IF(G29=0,"0/5 ⚠⚠",IF(G29&lt;=1,G29&amp;"/5 ⚠",G29&amp;"/5")))</f>
        <v>4/5</v>
      </c>
    </row>
    <row r="30" customFormat="false" ht="15.75" hidden="false" customHeight="true" outlineLevel="0" collapsed="false">
      <c r="A30" s="1" t="s">
        <v>85</v>
      </c>
      <c r="B30" s="1" t="n">
        <f aca="false">IF('Saisie 2026-02'!W28="N/A absence longue","M",'Saisie 2026-02'!V28)</f>
        <v>4</v>
      </c>
      <c r="C30" s="1" t="n">
        <f aca="false">IF('Saisie 2026-03'!Y28="N/A absence longue","M",'Saisie 2026-03'!X28)</f>
        <v>4</v>
      </c>
      <c r="D30" s="1" t="n">
        <f aca="false">IF('Saisie 2026-04'!Y28="N/A absence longue","M",'Saisie 2026-04'!X28)</f>
        <v>3</v>
      </c>
      <c r="E30" s="1" t="n">
        <f aca="false">IF('Saisie 2026-05'!U28="N/A absence longue","M",'Saisie 2026-05'!T28)</f>
        <v>1</v>
      </c>
      <c r="F30" s="1" t="n">
        <f aca="false">IF('Saisie 2026-06'!Y29="N/A absence longue","M",'Saisie 2026-06'!X29)</f>
        <v>0</v>
      </c>
      <c r="G30" s="1" t="n">
        <f aca="false">COUNTIF(B30:F30,"&gt;=2")</f>
        <v>3</v>
      </c>
      <c r="H30" s="1" t="str">
        <f aca="false">IF(G30=5,"5/5 ✓",IF(G30=0,"0/5 ⚠⚠",IF(G30&lt;=1,G30&amp;"/5 ⚠",G30&amp;"/5")))</f>
        <v>3/5</v>
      </c>
    </row>
    <row r="31" customFormat="false" ht="15.75" hidden="false" customHeight="true" outlineLevel="0" collapsed="false">
      <c r="A31" s="1" t="s">
        <v>68</v>
      </c>
      <c r="B31" s="1" t="n">
        <f aca="false">IF('Saisie 2026-02'!W29="N/A absence longue","M",'Saisie 2026-02'!V29)</f>
        <v>0</v>
      </c>
      <c r="C31" s="1" t="n">
        <f aca="false">IF('Saisie 2026-03'!Y29="N/A absence longue","M",'Saisie 2026-03'!X29)</f>
        <v>3</v>
      </c>
      <c r="D31" s="1" t="n">
        <f aca="false">IF('Saisie 2026-04'!Y29="N/A absence longue","M",'Saisie 2026-04'!X29)</f>
        <v>4</v>
      </c>
      <c r="E31" s="1" t="n">
        <f aca="false">IF('Saisie 2026-05'!U29="N/A absence longue","M",'Saisie 2026-05'!T29)</f>
        <v>1</v>
      </c>
      <c r="F31" s="1" t="n">
        <f aca="false">IF('Saisie 2026-06'!Y30="N/A absence longue","M",'Saisie 2026-06'!X30)</f>
        <v>0</v>
      </c>
      <c r="G31" s="1" t="n">
        <f aca="false">COUNTIF(B31:F31,"&gt;=2")</f>
        <v>2</v>
      </c>
      <c r="H31" s="1" t="str">
        <f aca="false">IF(G31=5,"5/5 ✓",IF(G31=0,"0/5 ⚠⚠",IF(G31&lt;=1,G31&amp;"/5 ⚠",G31&amp;"/5")))</f>
        <v>2/5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2026-04-27T09:55:04Z</dcterms:created>
  <dc:creator>openpyxl</dc:creator>
  <dc:description/>
  <dc:language>en-US</dc:language>
  <cp:lastModifiedBy>Jérémie KIEFFER</cp:lastModifiedBy>
  <dcterms:modified xsi:type="dcterms:W3CDTF">2026-06-01T12:05:40Z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