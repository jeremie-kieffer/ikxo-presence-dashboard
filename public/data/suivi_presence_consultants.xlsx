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nvention" sheetId="1" r:id="rId1"/>
    <sheet name="Référentiel" sheetId="2" r:id="rId2"/>
    <sheet name="Événements" sheetId="3" r:id="rId3"/>
    <sheet name="Saisie 2026-02" sheetId="4" r:id="rId4"/>
    <sheet name="Saisie 2026-03" sheetId="5" r:id="rId5"/>
    <sheet name="Saisie 2026-04" sheetId="6" r:id="rId6"/>
    <sheet name="Log" sheetId="7" r:id="rId7"/>
    <sheet name="Synthèse mensuelle" sheetId="8" r:id="rId8"/>
    <sheet name="Synthèse consultant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7">
    <numFmt numFmtId="56" formatCode="&quot;上午/下午 &quot;hh&quot;時&quot;mm&quot;分&quot;ss&quot;秒 &quot;"/>
    <numFmt numFmtId="164" formatCode="General"/>
    <numFmt numFmtId="165" formatCode="dd/mm/yyyy"/>
    <numFmt numFmtId="166" formatCode="dd\-mmm"/>
    <numFmt numFmtId="167" formatCode="General"/>
    <numFmt numFmtId="168" formatCode="0%"/>
    <numFmt numFmtId="169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7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workbookViewId="0" rightToLeft="0"/>
  </sheetViews>
  <sheetData>
    <row r="1">
      <c r="A1" s="1" t="str">
        <v>Convention de saisie — Suivi de présence consultants</v>
      </c>
    </row>
    <row r="3">
      <c r="A3" s="1" t="str">
        <v>Ce fichier sert à suivre la présence des consultants au bureau et à mesurer notre OKR (objectif : 2 jours/mois minimum par consultant).</v>
      </c>
    </row>
    <row r="5">
      <c r="A5" s="1" t="str">
        <v>Symboles à utiliser dans les onglets de saisie mensuelle</v>
      </c>
    </row>
    <row r="6">
      <c r="A6" s="1" t="str">
        <v>Symbole</v>
      </c>
      <c r="B6" s="1" t="str">
        <v>Signification</v>
      </c>
      <c r="C6" s="1" t="str">
        <v>Impact sur le calcul</v>
      </c>
    </row>
    <row r="7">
      <c r="A7" s="1" t="str">
        <v>1</v>
      </c>
      <c r="B7" s="1" t="str">
        <v>Présence au bureau</v>
      </c>
      <c r="C7" s="1" t="str">
        <v>Compte dans le total de présences du consultant</v>
      </c>
    </row>
    <row r="8">
      <c r="A8" s="1" t="str">
        <v>IC</v>
      </c>
      <c r="B8" s="1" t="str">
        <v>Présence pendant une période d'intercontrat</v>
      </c>
      <c r="C8" s="1" t="str">
        <v>Compte comme une présence dans le total OKR. Permet de visualiser la période d'intercontrat.</v>
      </c>
    </row>
    <row r="9">
      <c r="A9" s="1" t="str">
        <v>(vide)</v>
      </c>
      <c r="B9" s="1" t="str">
        <v>Absence par défaut (pas venu, en mission, télétravail, congés courts)</v>
      </c>
      <c r="C9" s="1" t="str">
        <v>Compte comme "non présent" — sous l'objectif si pas assez de "1"</v>
      </c>
    </row>
    <row r="10">
      <c r="A10" s="1" t="str">
        <v>M</v>
      </c>
      <c r="B10" s="1" t="str">
        <v>Absence longue : congé maternité/paternité, parental, maladie longue, sabbatique</v>
      </c>
      <c r="C10" s="1" t="str">
        <v>Le consultant est exclu du calcul d'atteinte OKR pour ce mois</v>
      </c>
    </row>
    <row r="11">
      <c r="A11" s="1" t="str">
        <v>X</v>
      </c>
      <c r="B11" s="1" t="str">
        <v>Date d'un événement (ligne XO Day, XO Product Day, Séminaire)</v>
      </c>
      <c r="C11" s="1" t="str">
        <v>Permet d'overlay l'événement sur les graphiques</v>
      </c>
    </row>
    <row r="13">
      <c r="A13" s="1" t="str">
        <v>Comment utiliser le fichier</v>
      </c>
    </row>
    <row r="14">
      <c r="A14" s="1" t="str">
        <v>1. Onglet "Référentiel" : ajoute/retire les consultants au fil des arrivées et départs.</v>
      </c>
    </row>
    <row r="15">
      <c r="A15" s="1" t="str">
        <v>2. Onglet "Événements" : déclare en amont les XO Days, XO Product Days et séminaires prévus.</v>
      </c>
    </row>
    <row r="16">
      <c r="A16" s="1" t="str">
        <v>3. Onglets "Saisie YYYY-MM" : saisie quotidienne des présences (1 dans la cellule). Crée un nouvel onglet par mois.</v>
      </c>
    </row>
    <row r="17">
      <c r="A17" s="1" t="str">
        <v>4. Onglet "Log" : se met à jour automatiquement, pas de saisie manuelle. C'est la source pour le dashboard.</v>
      </c>
    </row>
    <row r="18">
      <c r="A18" s="1" t="str">
        <v>5. Onglets "Synthèse" : KPI calculés automatiquement.</v>
      </c>
    </row>
    <row r="21">
      <c r="A21" s="1" t="str">
        <v>Note importante</v>
      </c>
    </row>
    <row r="22">
      <c r="A22" s="1" t="str">
        <v>Ce fichier est un fichier source. Les données calculées dans les onglets Log et Synthèse alimentent un dashboard externe (web). Ne pas modifier les formules de ces onglets.</v>
      </c>
    </row>
  </sheetData>
  <mergeCells count="8">
    <mergeCell ref="A1:C1"/>
    <mergeCell ref="A3:C3"/>
    <mergeCell ref="A13:C13"/>
    <mergeCell ref="A14:C14"/>
    <mergeCell ref="A15:C15"/>
    <mergeCell ref="A16:C16"/>
    <mergeCell ref="A17:C17"/>
    <mergeCell ref="A21:C21"/>
  </mergeCells>
  <pageMargins left="0.75" right="0.75" top="1" bottom="1" header="0.511811023622047" footer="0.511811023622047"/>
  <ignoredErrors>
    <ignoredError numberStoredAsText="1" sqref="A1:C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29"/>
  <sheetViews>
    <sheetView workbookViewId="0" rightToLeft="0"/>
  </sheetViews>
  <sheetData>
    <row r="1">
      <c r="A1" s="1" t="str">
        <v>Référentiel des consultants</v>
      </c>
    </row>
    <row r="3">
      <c r="A3" s="1" t="str">
        <v>Consultant</v>
      </c>
      <c r="B3" s="1" t="str">
        <v>Date d'entrée</v>
      </c>
      <c r="C3" s="1" t="str">
        <v>Date de sortie</v>
      </c>
    </row>
    <row r="4">
      <c r="A4" s="1" t="str">
        <v>Alexandre Dieulesaint</v>
      </c>
    </row>
    <row r="5">
      <c r="A5" s="1" t="str">
        <v>Amandine Ziegler</v>
      </c>
    </row>
    <row r="6">
      <c r="A6" s="1" t="str">
        <v>Anthony Mocaer</v>
      </c>
    </row>
    <row r="7">
      <c r="A7" s="1" t="str">
        <v>Anthéa Delpuech</v>
      </c>
    </row>
    <row r="8">
      <c r="A8" s="1" t="str">
        <v>Axel Charletoux</v>
      </c>
    </row>
    <row r="9">
      <c r="A9" s="1" t="str">
        <v>Barnabé Melaine</v>
      </c>
    </row>
    <row r="10">
      <c r="A10" s="1" t="str">
        <v>Bertrand Mignot</v>
      </c>
    </row>
    <row r="11">
      <c r="A11" s="1" t="str">
        <v>Calixte Bailly</v>
      </c>
    </row>
    <row r="12">
      <c r="A12" s="1" t="str">
        <v>Caroline Hamoud</v>
      </c>
    </row>
    <row r="13">
      <c r="A13" s="1" t="str">
        <v>Esther Mussot</v>
      </c>
      <c r="B13" s="2">
        <v>46082</v>
      </c>
    </row>
    <row r="14">
      <c r="A14" s="1" t="str">
        <v>Eva Andrzejewski</v>
      </c>
    </row>
    <row r="15">
      <c r="A15" s="1" t="str">
        <v>Florian Le Fur</v>
      </c>
    </row>
    <row r="16">
      <c r="A16" s="1" t="str">
        <v>Florian Roudier</v>
      </c>
    </row>
    <row r="17">
      <c r="A17" s="1" t="str">
        <v>François L'Hostis</v>
      </c>
    </row>
    <row r="18">
      <c r="A18" s="1" t="str">
        <v>Félix Hantraye</v>
      </c>
    </row>
    <row r="19">
      <c r="A19" s="1" t="str">
        <v>Geoffroy Debellabre</v>
      </c>
    </row>
    <row r="20">
      <c r="A20" s="1" t="str">
        <v>Julien Calvao</v>
      </c>
    </row>
    <row r="21">
      <c r="A21" s="1" t="str">
        <v>Laureline Berthou</v>
      </c>
    </row>
    <row r="22">
      <c r="A22" s="1" t="str">
        <v>Mathieu Ultsch</v>
      </c>
    </row>
    <row r="23">
      <c r="A23" s="1" t="str">
        <v>Matthieu Le Corre</v>
      </c>
    </row>
    <row r="24">
      <c r="A24" s="1" t="str">
        <v>Nacim Souni</v>
      </c>
    </row>
    <row r="25">
      <c r="A25" s="1" t="str">
        <v>Sandra Tang</v>
      </c>
    </row>
    <row r="26">
      <c r="A26" s="1" t="str">
        <v>Simon Kerhyuel</v>
      </c>
    </row>
    <row r="27">
      <c r="A27" s="1" t="str">
        <v>Théo Esposito</v>
      </c>
    </row>
    <row r="28">
      <c r="A28" s="1" t="str">
        <v>Vincent Girard</v>
      </c>
    </row>
    <row r="29">
      <c r="A29" s="1" t="str">
        <v>Zelal Aslan</v>
      </c>
    </row>
  </sheetData>
  <mergeCells count="1">
    <mergeCell ref="A1:C1"/>
  </mergeCells>
  <pageMargins left="0.75" right="0.75" top="1" bottom="1" header="0.511811023622047" footer="0.511811023622047"/>
  <ignoredErrors>
    <ignoredError numberStoredAsText="1" sqref="A1:C2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 rightToLeft="0"/>
  </sheetViews>
  <sheetData>
    <row r="1">
      <c r="A1" s="1" t="str">
        <v>Calendrier des événements collectifs</v>
      </c>
    </row>
    <row r="3">
      <c r="A3" s="1" t="str">
        <v>Date</v>
      </c>
      <c r="B3" s="1" t="str">
        <v>Type</v>
      </c>
      <c r="C3" s="1" t="str">
        <v>Libellé / Détail</v>
      </c>
    </row>
    <row r="4">
      <c r="A4" s="1">
        <v>46072</v>
      </c>
      <c r="B4" s="1" t="str">
        <v>XO Product Day</v>
      </c>
      <c r="C4" s="1" t="str">
        <v>XO Product Day février</v>
      </c>
    </row>
    <row r="5">
      <c r="A5" s="1">
        <v>46107</v>
      </c>
      <c r="B5" s="1" t="str">
        <v>XO Day</v>
      </c>
      <c r="C5" s="1" t="str">
        <v>XO Day mars</v>
      </c>
    </row>
    <row r="6">
      <c r="A6" s="1">
        <v>46135</v>
      </c>
      <c r="B6" s="1" t="str">
        <v>XO Day</v>
      </c>
      <c r="C6" s="1" t="str">
        <v>XO Day avril</v>
      </c>
    </row>
  </sheetData>
  <mergeCells count="1">
    <mergeCell ref="A1:C1"/>
  </mergeCells>
  <pageMargins left="0.75" right="0.75" top="1" bottom="1" header="0.511811023622047" footer="0.511811023622047"/>
  <ignoredErrors>
    <ignoredError numberStoredAsText="1" sqref="A1:C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W35"/>
  <sheetViews>
    <sheetView workbookViewId="0" rightToLeft="0"/>
  </sheetViews>
  <sheetData>
    <row r="1">
      <c r="A1" s="1" t="str">
        <v>Saisie présence — Février 2026</v>
      </c>
    </row>
    <row r="3">
      <c r="A3" s="1" t="str">
        <v>Consultant</v>
      </c>
      <c r="B3" s="1">
        <v>46055</v>
      </c>
      <c r="C3" s="1">
        <v>46056</v>
      </c>
      <c r="D3" s="1">
        <v>46057</v>
      </c>
      <c r="E3" s="1">
        <v>46058</v>
      </c>
      <c r="F3" s="1">
        <v>46059</v>
      </c>
      <c r="G3" s="1">
        <v>46062</v>
      </c>
      <c r="H3" s="1">
        <v>46063</v>
      </c>
      <c r="I3" s="1">
        <v>46064</v>
      </c>
      <c r="J3" s="1">
        <v>46065</v>
      </c>
      <c r="K3" s="1">
        <v>46066</v>
      </c>
      <c r="L3" s="1">
        <v>46069</v>
      </c>
      <c r="M3" s="1">
        <v>46070</v>
      </c>
      <c r="N3" s="1">
        <v>46071</v>
      </c>
      <c r="O3" s="1">
        <v>46072</v>
      </c>
      <c r="P3" s="1">
        <v>46073</v>
      </c>
      <c r="Q3" s="1">
        <v>46076</v>
      </c>
      <c r="R3" s="1">
        <v>46077</v>
      </c>
      <c r="S3" s="1">
        <v>46078</v>
      </c>
      <c r="T3" s="1">
        <v>46079</v>
      </c>
      <c r="U3" s="1">
        <v>46080</v>
      </c>
      <c r="V3" s="1" t="str">
        <v>Total</v>
      </c>
      <c r="W3" s="1" t="str">
        <v>Statut OKR</v>
      </c>
    </row>
    <row r="4">
      <c r="A4" s="1" t="str">
        <v>Eva Andrzejewski</v>
      </c>
      <c r="H4" s="1">
        <v>1</v>
      </c>
      <c r="O4" s="1">
        <v>1</v>
      </c>
      <c r="R4" s="1">
        <v>1</v>
      </c>
      <c r="V4" s="1">
        <f>COUNTIF(B4:U4,1)+COUNTIF(B4:U4,"IC")</f>
        <v>3</v>
      </c>
      <c r="W4" s="1" t="str">
        <f>IF(COUNTIF(B4:U4,"M")&gt;0,"N/A (absence longue)",IF(V4&gt;=2,"Atteint","Sous objectif"))</f>
        <v>Atteint</v>
      </c>
    </row>
    <row r="5">
      <c r="A5" s="1" t="str">
        <v>Zelal Aslan</v>
      </c>
      <c r="B5" s="1" t="str">
        <v>M</v>
      </c>
      <c r="C5" s="1" t="str">
        <v>M</v>
      </c>
      <c r="D5" s="1" t="str">
        <v>M</v>
      </c>
      <c r="E5" s="1" t="str">
        <v>M</v>
      </c>
      <c r="F5" s="1" t="str">
        <v>M</v>
      </c>
      <c r="G5" s="1" t="str">
        <v>M</v>
      </c>
      <c r="H5" s="1" t="str">
        <v>M</v>
      </c>
      <c r="I5" s="1" t="str">
        <v>M</v>
      </c>
      <c r="J5" s="1" t="str">
        <v>M</v>
      </c>
      <c r="K5" s="1" t="str">
        <v>M</v>
      </c>
      <c r="L5" s="1" t="str">
        <v>M</v>
      </c>
      <c r="M5" s="1" t="str">
        <v>M</v>
      </c>
      <c r="N5" s="1" t="str">
        <v>M</v>
      </c>
      <c r="O5" s="1" t="str">
        <v>M</v>
      </c>
      <c r="P5" s="1" t="str">
        <v>M</v>
      </c>
      <c r="Q5" s="1" t="str">
        <v>M</v>
      </c>
      <c r="R5" s="1" t="str">
        <v>M</v>
      </c>
      <c r="S5" s="1" t="str">
        <v>M</v>
      </c>
      <c r="T5" s="1" t="str">
        <v>M</v>
      </c>
      <c r="U5" s="1" t="str">
        <v>M</v>
      </c>
      <c r="V5" s="1">
        <f>COUNTIF(B5:U5,1)+COUNTIF(B5:U5,"IC")</f>
        <v>0</v>
      </c>
      <c r="W5" s="1" t="str">
        <f>IF(COUNTIF(B5:U5,"M")&gt;0,"N/A (absence longue)",IF(V5&gt;=2,"Atteint","Sous objectif"))</f>
        <v>N/A (absence longue)</v>
      </c>
    </row>
    <row r="6">
      <c r="A6" s="1" t="str">
        <v>Calixte Bailly</v>
      </c>
      <c r="O6" s="1">
        <v>1</v>
      </c>
      <c r="V6" s="1">
        <f>COUNTIF(B6:U6,1)+COUNTIF(B6:U6,"IC")</f>
        <v>1</v>
      </c>
      <c r="W6" s="1" t="str">
        <f>IF(COUNTIF(B6:U6,"M")&gt;0,"N/A (absence longue)",IF(V6&gt;=2,"Atteint","Sous objectif"))</f>
        <v>Sous objectif</v>
      </c>
    </row>
    <row r="7">
      <c r="A7" s="1" t="str">
        <v>Laureline Berthou</v>
      </c>
      <c r="C7" s="1">
        <v>1</v>
      </c>
      <c r="E7" s="1">
        <v>1</v>
      </c>
      <c r="J7" s="1">
        <v>1</v>
      </c>
      <c r="O7" s="1">
        <v>1</v>
      </c>
      <c r="R7" s="1">
        <v>1</v>
      </c>
      <c r="V7" s="1">
        <f>COUNTIF(B7:U7,1)+COUNTIF(B7:U7,"IC")</f>
        <v>5</v>
      </c>
      <c r="W7" s="1" t="str">
        <f>IF(COUNTIF(B7:U7,"M")&gt;0,"N/A (absence longue)",IF(V7&gt;=2,"Atteint","Sous objectif"))</f>
        <v>Atteint</v>
      </c>
    </row>
    <row r="8">
      <c r="A8" s="1" t="str">
        <v>Julien Calvao</v>
      </c>
      <c r="B8" s="1" t="str">
        <v>IC</v>
      </c>
      <c r="C8" s="1" t="str">
        <v>IC</v>
      </c>
      <c r="E8" s="1" t="str">
        <v>IC</v>
      </c>
      <c r="H8" s="1" t="str">
        <v>IC</v>
      </c>
      <c r="I8" s="1" t="str">
        <v>IC</v>
      </c>
      <c r="J8" s="1" t="str">
        <v>IC</v>
      </c>
      <c r="L8" s="1" t="str">
        <v>IC</v>
      </c>
      <c r="M8" s="1" t="str">
        <v>IC</v>
      </c>
      <c r="Q8" s="1" t="str">
        <v>IC</v>
      </c>
      <c r="R8" s="1" t="str">
        <v>IC</v>
      </c>
      <c r="T8" s="1" t="str">
        <v>IC</v>
      </c>
      <c r="V8" s="1">
        <f>COUNTIF(B8:U8,1)+COUNTIF(B8:U8,"IC")</f>
        <v>11</v>
      </c>
      <c r="W8" s="1" t="str">
        <f>IF(COUNTIF(B8:U8,"M")&gt;0,"N/A (absence longue)",IF(V8&gt;=2,"Atteint","Sous objectif"))</f>
        <v>Atteint</v>
      </c>
    </row>
    <row r="9">
      <c r="A9" s="1" t="str">
        <v>Axel Charletoux</v>
      </c>
      <c r="O9" s="1">
        <v>1</v>
      </c>
      <c r="V9" s="1">
        <f>COUNTIF(B9:U9,1)+COUNTIF(B9:U9,"IC")</f>
        <v>1</v>
      </c>
      <c r="W9" s="1" t="str">
        <f>IF(COUNTIF(B9:U9,"M")&gt;0,"N/A (absence longue)",IF(V9&gt;=2,"Atteint","Sous objectif"))</f>
        <v>Sous objectif</v>
      </c>
    </row>
    <row r="10">
      <c r="A10" s="1" t="str">
        <v>Geoffroy Debellabre</v>
      </c>
      <c r="V10" s="1">
        <f>COUNTIF(B10:U10,1)+COUNTIF(B10:U10,"IC")</f>
        <v>0</v>
      </c>
      <c r="W10" s="1" t="str">
        <f>IF(COUNTIF(B10:U10,"M")&gt;0,"N/A (absence longue)",IF(V10&gt;=2,"Atteint","Sous objectif"))</f>
        <v>Sous objectif</v>
      </c>
    </row>
    <row r="11">
      <c r="A11" s="1" t="str">
        <v>Anthéa Delpuech</v>
      </c>
      <c r="B11" s="1">
        <v>1</v>
      </c>
      <c r="C11" s="1">
        <v>1</v>
      </c>
      <c r="E11" s="1">
        <v>1</v>
      </c>
      <c r="R11" s="1">
        <v>1</v>
      </c>
      <c r="V11" s="1">
        <f>COUNTIF(B11:U11,1)+COUNTIF(B11:U11,"IC")</f>
        <v>4</v>
      </c>
      <c r="W11" s="1" t="str">
        <f>IF(COUNTIF(B11:U11,"M")&gt;0,"N/A (absence longue)",IF(V11&gt;=2,"Atteint","Sous objectif"))</f>
        <v>Atteint</v>
      </c>
    </row>
    <row r="12">
      <c r="A12" s="1" t="str">
        <v>Alexandre Dieulesaint</v>
      </c>
      <c r="V12" s="1">
        <f>COUNTIF(B12:U12,1)+COUNTIF(B12:U12,"IC")</f>
        <v>0</v>
      </c>
      <c r="W12" s="1" t="str">
        <f>IF(COUNTIF(B12:U12,"M")&gt;0,"N/A (absence longue)",IF(V12&gt;=2,"Atteint","Sous objectif"))</f>
        <v>Sous objectif</v>
      </c>
    </row>
    <row r="13">
      <c r="A13" s="1" t="str">
        <v>Théo Esposito</v>
      </c>
      <c r="C13" s="1">
        <v>1</v>
      </c>
      <c r="H13" s="1">
        <v>1</v>
      </c>
      <c r="R13" s="1">
        <v>1</v>
      </c>
      <c r="V13" s="1">
        <f>COUNTIF(B13:U13,1)+COUNTIF(B13:U13,"IC")</f>
        <v>3</v>
      </c>
      <c r="W13" s="1" t="str">
        <f>IF(COUNTIF(B13:U13,"M")&gt;0,"N/A (absence longue)",IF(V13&gt;=2,"Atteint","Sous objectif"))</f>
        <v>Atteint</v>
      </c>
    </row>
    <row r="14">
      <c r="A14" s="1" t="str">
        <v>Vincent Girard</v>
      </c>
      <c r="H14" s="1">
        <v>1</v>
      </c>
      <c r="O14" s="1">
        <v>1</v>
      </c>
      <c r="R14" s="1">
        <v>1</v>
      </c>
      <c r="V14" s="1">
        <f>COUNTIF(B14:U14,1)+COUNTIF(B14:U14,"IC")</f>
        <v>3</v>
      </c>
      <c r="W14" s="1" t="str">
        <f>IF(COUNTIF(B14:U14,"M")&gt;0,"N/A (absence longue)",IF(V14&gt;=2,"Atteint","Sous objectif"))</f>
        <v>Atteint</v>
      </c>
    </row>
    <row r="15">
      <c r="A15" s="1" t="str">
        <v>Caroline Hamoud</v>
      </c>
      <c r="V15" s="1">
        <f>COUNTIF(B15:U15,1)+COUNTIF(B15:U15,"IC")</f>
        <v>0</v>
      </c>
      <c r="W15" s="1" t="str">
        <f>IF(COUNTIF(B15:U15,"M")&gt;0,"N/A (absence longue)",IF(V15&gt;=2,"Atteint","Sous objectif"))</f>
        <v>Sous objectif</v>
      </c>
    </row>
    <row r="16">
      <c r="A16" s="1" t="str">
        <v>Félix Hantraye</v>
      </c>
      <c r="H16" s="1">
        <v>1</v>
      </c>
      <c r="M16" s="1">
        <v>1</v>
      </c>
      <c r="O16" s="1">
        <v>1</v>
      </c>
      <c r="V16" s="1">
        <f>COUNTIF(B16:U16,1)+COUNTIF(B16:U16,"IC")</f>
        <v>3</v>
      </c>
      <c r="W16" s="1" t="str">
        <f>IF(COUNTIF(B16:U16,"M")&gt;0,"N/A (absence longue)",IF(V16&gt;=2,"Atteint","Sous objectif"))</f>
        <v>Atteint</v>
      </c>
    </row>
    <row r="17">
      <c r="A17" s="1" t="str">
        <v>Simon Kerhyuel</v>
      </c>
      <c r="H17" s="1">
        <v>1</v>
      </c>
      <c r="V17" s="1">
        <f>COUNTIF(B17:U17,1)+COUNTIF(B17:U17,"IC")</f>
        <v>1</v>
      </c>
      <c r="W17" s="1" t="str">
        <f>IF(COUNTIF(B17:U17,"M")&gt;0,"N/A (absence longue)",IF(V17&gt;=2,"Atteint","Sous objectif"))</f>
        <v>Sous objectif</v>
      </c>
    </row>
    <row r="18">
      <c r="A18" s="1" t="str">
        <v>Matthieu Le Corre</v>
      </c>
      <c r="C18" s="1">
        <v>1</v>
      </c>
      <c r="E18" s="1">
        <v>1</v>
      </c>
      <c r="H18" s="1">
        <v>1</v>
      </c>
      <c r="J18" s="1">
        <v>1</v>
      </c>
      <c r="M18" s="1">
        <v>1</v>
      </c>
      <c r="O18" s="1">
        <v>1</v>
      </c>
      <c r="R18" s="1">
        <v>1</v>
      </c>
      <c r="T18" s="1">
        <v>1</v>
      </c>
      <c r="V18" s="1">
        <f>COUNTIF(B18:U18,1)+COUNTIF(B18:U18,"IC")</f>
        <v>8</v>
      </c>
      <c r="W18" s="1" t="str">
        <f>IF(COUNTIF(B18:U18,"M")&gt;0,"N/A (absence longue)",IF(V18&gt;=2,"Atteint","Sous objectif"))</f>
        <v>Atteint</v>
      </c>
    </row>
    <row r="19">
      <c r="A19" s="1" t="str">
        <v>Florian Le Fur</v>
      </c>
      <c r="H19" s="1">
        <v>1</v>
      </c>
      <c r="O19" s="1">
        <v>1</v>
      </c>
      <c r="V19" s="1">
        <f>COUNTIF(B19:U19,1)+COUNTIF(B19:U19,"IC")</f>
        <v>2</v>
      </c>
      <c r="W19" s="1" t="str">
        <f>IF(COUNTIF(B19:U19,"M")&gt;0,"N/A (absence longue)",IF(V19&gt;=2,"Atteint","Sous objectif"))</f>
        <v>Atteint</v>
      </c>
    </row>
    <row r="20">
      <c r="A20" s="1" t="str">
        <v>François L'Hostis</v>
      </c>
      <c r="H20" s="1">
        <v>1</v>
      </c>
      <c r="O20" s="1">
        <v>1</v>
      </c>
      <c r="V20" s="1">
        <f>COUNTIF(B20:U20,1)+COUNTIF(B20:U20,"IC")</f>
        <v>2</v>
      </c>
      <c r="W20" s="1" t="str">
        <f>IF(COUNTIF(B20:U20,"M")&gt;0,"N/A (absence longue)",IF(V20&gt;=2,"Atteint","Sous objectif"))</f>
        <v>Atteint</v>
      </c>
    </row>
    <row r="21">
      <c r="A21" s="1" t="str">
        <v>Barnabé Melaine</v>
      </c>
      <c r="H21" s="1">
        <v>1</v>
      </c>
      <c r="O21" s="1">
        <v>1</v>
      </c>
      <c r="V21" s="1">
        <f>COUNTIF(B21:U21,1)+COUNTIF(B21:U21,"IC")</f>
        <v>2</v>
      </c>
      <c r="W21" s="1" t="str">
        <f>IF(COUNTIF(B21:U21,"M")&gt;0,"N/A (absence longue)",IF(V21&gt;=2,"Atteint","Sous objectif"))</f>
        <v>Atteint</v>
      </c>
    </row>
    <row r="22">
      <c r="A22" s="1" t="str">
        <v>Bertrand Mignot</v>
      </c>
      <c r="H22" s="1">
        <v>1</v>
      </c>
      <c r="O22" s="1">
        <v>1</v>
      </c>
      <c r="V22" s="1">
        <f>COUNTIF(B22:U22,1)+COUNTIF(B22:U22,"IC")</f>
        <v>2</v>
      </c>
      <c r="W22" s="1" t="str">
        <f>IF(COUNTIF(B22:U22,"M")&gt;0,"N/A (absence longue)",IF(V22&gt;=2,"Atteint","Sous objectif"))</f>
        <v>Atteint</v>
      </c>
    </row>
    <row r="23">
      <c r="A23" s="1" t="str">
        <v>Anthony Mocaer</v>
      </c>
      <c r="R23" s="1">
        <v>1</v>
      </c>
      <c r="V23" s="1">
        <f>COUNTIF(B23:U23,1)+COUNTIF(B23:U23,"IC")</f>
        <v>1</v>
      </c>
      <c r="W23" s="1" t="str">
        <f>IF(COUNTIF(B23:U23,"M")&gt;0,"N/A (absence longue)",IF(V23&gt;=2,"Atteint","Sous objectif"))</f>
        <v>Sous objectif</v>
      </c>
    </row>
    <row r="24">
      <c r="A24" s="1" t="str">
        <v>Florian Roudier</v>
      </c>
      <c r="V24" s="1">
        <f>COUNTIF(B25:U25,1)+COUNTIF(B25:U25,"IC")</f>
        <v>0</v>
      </c>
      <c r="W24" s="1" t="str">
        <f>IF(COUNTIF(B25:U25,"M")&gt;0,"N/A (absence longue)",IF(V25&gt;=2,"Atteint","Sous objectif"))</f>
        <v>Sous objectif</v>
      </c>
    </row>
    <row r="25">
      <c r="A25" s="1" t="str">
        <v>Nacim Souni</v>
      </c>
      <c r="B25" s="1">
        <v>1</v>
      </c>
      <c r="C25" s="1">
        <v>1</v>
      </c>
      <c r="E25" s="1">
        <v>1</v>
      </c>
      <c r="G25" s="1">
        <v>1</v>
      </c>
      <c r="H25" s="1">
        <v>1</v>
      </c>
      <c r="J25" s="1">
        <v>1</v>
      </c>
      <c r="L25" s="1">
        <v>1</v>
      </c>
      <c r="O25" s="1">
        <v>1</v>
      </c>
      <c r="Q25" s="1">
        <v>1</v>
      </c>
      <c r="R25" s="1">
        <v>1</v>
      </c>
      <c r="T25" s="1">
        <v>1</v>
      </c>
      <c r="V25" s="1">
        <f>COUNTIF(B26:U26,1)+COUNTIF(B26:U26,"IC")</f>
        <v>11</v>
      </c>
      <c r="W25" s="1" t="str">
        <f>IF(COUNTIF(B26:U26,"M")&gt;0,"N/A (absence longue)",IF(V26&gt;=2,"Atteint","Sous objectif"))</f>
        <v>Atteint</v>
      </c>
    </row>
    <row r="26">
      <c r="A26" s="1" t="str">
        <v>Sandra Tang</v>
      </c>
      <c r="O26" s="1">
        <v>1</v>
      </c>
      <c r="V26" s="1">
        <f>COUNTIF(B27:U27,1)+COUNTIF(B27:U27,"IC")</f>
        <v>1</v>
      </c>
      <c r="W26" s="1" t="str">
        <f>IF(COUNTIF(B27:U27,"M")&gt;0,"N/A (absence longue)",IF(V27&gt;=2,"Atteint","Sous objectif"))</f>
        <v>Sous objectif</v>
      </c>
    </row>
    <row r="27">
      <c r="A27" s="1" t="str">
        <v>Mathieu Ultsch</v>
      </c>
      <c r="C27" s="1">
        <v>1</v>
      </c>
      <c r="H27" s="1">
        <v>1</v>
      </c>
      <c r="M27" s="1">
        <v>1</v>
      </c>
      <c r="O27" s="1">
        <v>1</v>
      </c>
      <c r="R27" s="1">
        <v>1</v>
      </c>
      <c r="V27" s="1">
        <f>COUNTIF(B28:U28,1)+COUNTIF(B28:U28,"IC")</f>
        <v>5</v>
      </c>
      <c r="W27" s="1" t="str">
        <f>IF(COUNTIF(B28:U28,"M")&gt;0,"N/A (absence longue)",IF(V28&gt;=2,"Atteint","Sous objectif"))</f>
        <v>Atteint</v>
      </c>
    </row>
    <row r="28">
      <c r="A28" s="1" t="str">
        <v>Amandine Ziegler</v>
      </c>
      <c r="C28" s="1">
        <v>1</v>
      </c>
      <c r="H28" s="1">
        <v>1</v>
      </c>
      <c r="O28" s="1">
        <v>1</v>
      </c>
      <c r="R28" s="1">
        <v>1</v>
      </c>
      <c r="V28" s="1">
        <f>COUNTIF(B29:U29,1)+COUNTIF(B29:U29,"IC")</f>
        <v>4</v>
      </c>
      <c r="W28" s="1" t="str">
        <f>IF(COUNTIF(B29:U29,"M")&gt;0,"N/A (absence longue)",IF(V29&gt;=2,"Atteint","Sous objectif"))</f>
        <v>Atteint</v>
      </c>
    </row>
    <row r="32">
      <c r="A32" s="1" t="str">
        <v>— Événements —</v>
      </c>
    </row>
    <row r="33">
      <c r="A33" s="1" t="str">
        <v>XO Day</v>
      </c>
      <c r="O33" s="1" t="str">
        <v>X</v>
      </c>
    </row>
    <row r="34">
      <c r="A34" s="1" t="str">
        <v>XO Product Day</v>
      </c>
    </row>
    <row r="35">
      <c r="A35" s="1" t="str">
        <v>Séminaire</v>
      </c>
    </row>
  </sheetData>
  <pageMargins left="0.75" right="0.75" top="1" bottom="1" header="0.511811023622047" footer="0.511811023622047"/>
  <ignoredErrors>
    <ignoredError numberStoredAsText="1" sqref="A1:W3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Y35"/>
  <sheetViews>
    <sheetView workbookViewId="0" rightToLeft="0"/>
  </sheetViews>
  <sheetData>
    <row r="1">
      <c r="A1" s="1" t="str">
        <v>Saisie présence — Mars 2026</v>
      </c>
    </row>
    <row r="3">
      <c r="A3" s="1" t="str">
        <v>Consultant</v>
      </c>
      <c r="B3" s="1">
        <v>46083</v>
      </c>
      <c r="C3" s="1">
        <v>46084</v>
      </c>
      <c r="D3" s="1">
        <v>46085</v>
      </c>
      <c r="E3" s="1">
        <v>46086</v>
      </c>
      <c r="F3" s="1">
        <v>46087</v>
      </c>
      <c r="G3" s="1">
        <v>46090</v>
      </c>
      <c r="H3" s="1">
        <v>46091</v>
      </c>
      <c r="I3" s="1">
        <v>46092</v>
      </c>
      <c r="J3" s="1">
        <v>46093</v>
      </c>
      <c r="K3" s="1">
        <v>46094</v>
      </c>
      <c r="L3" s="1">
        <v>46097</v>
      </c>
      <c r="M3" s="1">
        <v>46098</v>
      </c>
      <c r="N3" s="1">
        <v>46099</v>
      </c>
      <c r="O3" s="1">
        <v>46100</v>
      </c>
      <c r="P3" s="1">
        <v>46101</v>
      </c>
      <c r="Q3" s="1">
        <v>46104</v>
      </c>
      <c r="R3" s="1">
        <v>46105</v>
      </c>
      <c r="S3" s="1">
        <v>46106</v>
      </c>
      <c r="T3" s="1">
        <v>46107</v>
      </c>
      <c r="U3" s="1">
        <v>46108</v>
      </c>
      <c r="V3" s="1">
        <v>46111</v>
      </c>
      <c r="W3" s="1">
        <v>46112</v>
      </c>
      <c r="X3" s="1" t="str">
        <v>Total</v>
      </c>
      <c r="Y3" s="1" t="str">
        <v>Statut OKR</v>
      </c>
    </row>
    <row r="4">
      <c r="A4" s="1" t="str">
        <v>Eva Andrzejewski</v>
      </c>
      <c r="I4" s="1">
        <v>1</v>
      </c>
      <c r="M4" s="1">
        <v>1</v>
      </c>
      <c r="T4" s="1">
        <v>1</v>
      </c>
      <c r="X4" s="1">
        <f>COUNTIF(B4:W4,1)+COUNTIF(B4:W4,"IC")</f>
        <v>3</v>
      </c>
      <c r="Y4" s="1" t="str">
        <f>IF(COUNTIF(B4:W4,"M")&gt;0,"N/A (absence longue)",IF(X4&gt;=2,"Atteint","Sous objectif"))</f>
        <v>Atteint</v>
      </c>
    </row>
    <row r="5">
      <c r="A5" s="1" t="str">
        <v>Zelal Aslan</v>
      </c>
      <c r="B5" s="1" t="str">
        <v>M</v>
      </c>
      <c r="C5" s="1" t="str">
        <v>M</v>
      </c>
      <c r="D5" s="1" t="str">
        <v>M</v>
      </c>
      <c r="E5" s="1" t="str">
        <v>M</v>
      </c>
      <c r="F5" s="1" t="str">
        <v>M</v>
      </c>
      <c r="G5" s="1" t="str">
        <v>M</v>
      </c>
      <c r="H5" s="1" t="str">
        <v>M</v>
      </c>
      <c r="I5" s="1" t="str">
        <v>M</v>
      </c>
      <c r="J5" s="1" t="str">
        <v>M</v>
      </c>
      <c r="K5" s="1" t="str">
        <v>M</v>
      </c>
      <c r="L5" s="1" t="str">
        <v>M</v>
      </c>
      <c r="M5" s="1" t="str">
        <v>M</v>
      </c>
      <c r="N5" s="1" t="str">
        <v>M</v>
      </c>
      <c r="O5" s="1" t="str">
        <v>M</v>
      </c>
      <c r="P5" s="1" t="str">
        <v>M</v>
      </c>
      <c r="Q5" s="1" t="str">
        <v>M</v>
      </c>
      <c r="R5" s="1" t="str">
        <v>M</v>
      </c>
      <c r="S5" s="1" t="str">
        <v>M</v>
      </c>
      <c r="T5" s="1" t="str">
        <v>M</v>
      </c>
      <c r="U5" s="1" t="str">
        <v>M</v>
      </c>
      <c r="V5" s="1" t="str">
        <v>M</v>
      </c>
      <c r="W5" s="1" t="str">
        <v>M</v>
      </c>
      <c r="X5" s="1">
        <f>COUNTIF(B5:W5,1)+COUNTIF(B5:W5,"IC")</f>
        <v>0</v>
      </c>
      <c r="Y5" s="1" t="str">
        <f>IF(COUNTIF(B5:W5,"M")&gt;0,"N/A (absence longue)",IF(X5&gt;=2,"Atteint","Sous objectif"))</f>
        <v>N/A (absence longue)</v>
      </c>
    </row>
    <row r="6">
      <c r="A6" s="1" t="str">
        <v>Calixte Bailly</v>
      </c>
      <c r="X6" s="1">
        <f>COUNTIF(B6:W6,1)+COUNTIF(B6:W6,"IC")</f>
        <v>0</v>
      </c>
      <c r="Y6" s="1" t="str">
        <f>IF(COUNTIF(B6:W6,"M")&gt;0,"N/A (absence longue)",IF(X6&gt;=2,"Atteint","Sous objectif"))</f>
        <v>Sous objectif</v>
      </c>
    </row>
    <row r="7">
      <c r="A7" s="1" t="str">
        <v>Laureline Berthou</v>
      </c>
      <c r="C7" s="1">
        <v>1</v>
      </c>
      <c r="M7" s="1">
        <v>1</v>
      </c>
      <c r="O7" s="1">
        <v>1</v>
      </c>
      <c r="R7" s="1">
        <v>1</v>
      </c>
      <c r="T7" s="1">
        <v>1</v>
      </c>
      <c r="W7" s="1">
        <v>1</v>
      </c>
      <c r="X7" s="1">
        <f>COUNTIF(B7:W7,1)+COUNTIF(B7:W7,"IC")</f>
        <v>6</v>
      </c>
      <c r="Y7" s="1" t="str">
        <f>IF(COUNTIF(B7:W7,"M")&gt;0,"N/A (absence longue)",IF(X7&gt;=2,"Atteint","Sous objectif"))</f>
        <v>Atteint</v>
      </c>
    </row>
    <row r="8">
      <c r="A8" s="1" t="str">
        <v>Julien Calvao</v>
      </c>
      <c r="B8" s="1" t="str">
        <v>IC</v>
      </c>
      <c r="C8" s="1" t="str">
        <v>IC</v>
      </c>
      <c r="E8" s="1" t="str">
        <v>IC</v>
      </c>
      <c r="G8" s="1" t="str">
        <v>IC</v>
      </c>
      <c r="I8" s="1" t="str">
        <v>IC</v>
      </c>
      <c r="J8" s="1" t="str">
        <v>IC</v>
      </c>
      <c r="M8" s="1" t="str">
        <v>IC</v>
      </c>
      <c r="O8" s="1" t="str">
        <v>IC</v>
      </c>
      <c r="R8" s="1" t="str">
        <v>IC</v>
      </c>
      <c r="T8" s="1" t="str">
        <v>IC</v>
      </c>
      <c r="V8" s="1" t="str">
        <v>IC</v>
      </c>
      <c r="W8" s="1" t="str">
        <v>IC</v>
      </c>
      <c r="X8" s="1">
        <f>COUNTIF(B8:W8,1)+COUNTIF(B8:W8,"IC")</f>
        <v>12</v>
      </c>
      <c r="Y8" s="1" t="str">
        <f>IF(COUNTIF(B8:W8,"M")&gt;0,"N/A (absence longue)",IF(X8&gt;=2,"Atteint","Sous objectif"))</f>
        <v>Atteint</v>
      </c>
    </row>
    <row r="9">
      <c r="A9" s="1" t="str">
        <v>Axel Charletoux</v>
      </c>
      <c r="I9" s="1">
        <v>1</v>
      </c>
      <c r="X9" s="1">
        <f>COUNTIF(B9:W9,1)+COUNTIF(B9:W9,"IC")</f>
        <v>1</v>
      </c>
      <c r="Y9" s="1" t="str">
        <f>IF(COUNTIF(B9:W9,"M")&gt;0,"N/A (absence longue)",IF(X9&gt;=2,"Atteint","Sous objectif"))</f>
        <v>Sous objectif</v>
      </c>
    </row>
    <row r="10">
      <c r="A10" s="1" t="str">
        <v>Geoffroy Debellabre</v>
      </c>
      <c r="E10" s="1">
        <v>1</v>
      </c>
      <c r="O10" s="1">
        <v>1</v>
      </c>
      <c r="X10" s="1">
        <f>COUNTIF(B10:W10,1)+COUNTIF(B10:W10,"IC")</f>
        <v>2</v>
      </c>
      <c r="Y10" s="1" t="str">
        <f>IF(COUNTIF(B10:W10,"M")&gt;0,"N/A (absence longue)",IF(X10&gt;=2,"Atteint","Sous objectif"))</f>
        <v>Atteint</v>
      </c>
    </row>
    <row r="11">
      <c r="A11" s="1" t="str">
        <v>Anthéa Delpuech</v>
      </c>
      <c r="T11" s="1">
        <v>1</v>
      </c>
      <c r="X11" s="1">
        <f>COUNTIF(B11:W11,1)+COUNTIF(B11:W11,"IC")</f>
        <v>1</v>
      </c>
      <c r="Y11" s="1" t="str">
        <f>IF(COUNTIF(B11:W11,"M")&gt;0,"N/A (absence longue)",IF(X11&gt;=2,"Atteint","Sous objectif"))</f>
        <v>Sous objectif</v>
      </c>
    </row>
    <row r="12">
      <c r="A12" s="1" t="str">
        <v>Alexandre Dieulesaint</v>
      </c>
      <c r="I12" s="1">
        <v>1</v>
      </c>
      <c r="L12" s="1">
        <v>1</v>
      </c>
      <c r="X12" s="1">
        <f>COUNTIF(B12:W12,1)+COUNTIF(B12:W12,"IC")</f>
        <v>2</v>
      </c>
      <c r="Y12" s="1" t="str">
        <f>IF(COUNTIF(B12:W12,"M")&gt;0,"N/A (absence longue)",IF(X12&gt;=2,"Atteint","Sous objectif"))</f>
        <v>Atteint</v>
      </c>
    </row>
    <row r="13">
      <c r="A13" s="1" t="str">
        <v>Théo Esposito</v>
      </c>
      <c r="I13" s="1">
        <v>1</v>
      </c>
      <c r="M13" s="1">
        <v>1</v>
      </c>
      <c r="X13" s="1">
        <f>COUNTIF(B13:W13,1)+COUNTIF(B13:W13,"IC")</f>
        <v>2</v>
      </c>
      <c r="Y13" s="1" t="str">
        <f>IF(COUNTIF(B13:W13,"M")&gt;0,"N/A (absence longue)",IF(X13&gt;=2,"Atteint","Sous objectif"))</f>
        <v>Atteint</v>
      </c>
    </row>
    <row r="14">
      <c r="A14" s="1" t="str">
        <v>Vincent Girard</v>
      </c>
      <c r="H14" s="1">
        <v>1</v>
      </c>
      <c r="I14" s="1">
        <v>1</v>
      </c>
      <c r="L14" s="1">
        <v>1</v>
      </c>
      <c r="T14" s="1">
        <v>1</v>
      </c>
      <c r="X14" s="1">
        <f>COUNTIF(B14:W14,1)+COUNTIF(B14:W14,"IC")</f>
        <v>4</v>
      </c>
      <c r="Y14" s="1" t="str">
        <f>IF(COUNTIF(B14:W14,"M")&gt;0,"N/A (absence longue)",IF(X14&gt;=2,"Atteint","Sous objectif"))</f>
        <v>Atteint</v>
      </c>
    </row>
    <row r="15">
      <c r="A15" s="1" t="str">
        <v>Caroline Hamoud</v>
      </c>
      <c r="T15" s="1">
        <v>1</v>
      </c>
      <c r="X15" s="1">
        <f>COUNTIF(B15:W15,1)+COUNTIF(B15:W15,"IC")</f>
        <v>1</v>
      </c>
      <c r="Y15" s="1" t="str">
        <f>IF(COUNTIF(B15:W15,"M")&gt;0,"N/A (absence longue)",IF(X15&gt;=2,"Atteint","Sous objectif"))</f>
        <v>Sous objectif</v>
      </c>
    </row>
    <row r="16">
      <c r="A16" s="1" t="str">
        <v>Félix Hantraye</v>
      </c>
      <c r="T16" s="1">
        <v>1</v>
      </c>
      <c r="X16" s="1">
        <f>COUNTIF(B16:W16,1)+COUNTIF(B16:W16,"IC")</f>
        <v>1</v>
      </c>
      <c r="Y16" s="1" t="str">
        <f>IF(COUNTIF(B16:W16,"M")&gt;0,"N/A (absence longue)",IF(X16&gt;=2,"Atteint","Sous objectif"))</f>
        <v>Sous objectif</v>
      </c>
    </row>
    <row r="17">
      <c r="A17" s="1" t="str">
        <v>Simon Kerhyuel</v>
      </c>
      <c r="T17" s="1">
        <v>1</v>
      </c>
      <c r="X17" s="1">
        <f>COUNTIF(B17:W17,1)+COUNTIF(B17:W17,"IC")</f>
        <v>1</v>
      </c>
      <c r="Y17" s="1" t="str">
        <f>IF(COUNTIF(B17:W17,"M")&gt;0,"N/A (absence longue)",IF(X17&gt;=2,"Atteint","Sous objectif"))</f>
        <v>Sous objectif</v>
      </c>
    </row>
    <row r="18">
      <c r="A18" s="1" t="str">
        <v>Matthieu Le Corre</v>
      </c>
      <c r="C18" s="1">
        <v>1</v>
      </c>
      <c r="E18" s="1">
        <v>1</v>
      </c>
      <c r="J18" s="1">
        <v>1</v>
      </c>
      <c r="L18" s="1">
        <v>1</v>
      </c>
      <c r="O18" s="1">
        <v>1</v>
      </c>
      <c r="T18" s="1">
        <v>1</v>
      </c>
      <c r="W18" s="1">
        <v>1</v>
      </c>
      <c r="X18" s="1">
        <f>COUNTIF(B18:W18,1)+COUNTIF(B18:W18,"IC")</f>
        <v>7</v>
      </c>
      <c r="Y18" s="1" t="str">
        <f>IF(COUNTIF(B18:W18,"M")&gt;0,"N/A (absence longue)",IF(X18&gt;=2,"Atteint","Sous objectif"))</f>
        <v>Atteint</v>
      </c>
    </row>
    <row r="19">
      <c r="A19" s="1" t="str">
        <v>Florian Le Fur</v>
      </c>
      <c r="F19" s="1">
        <v>1</v>
      </c>
      <c r="I19" s="1">
        <v>1</v>
      </c>
      <c r="L19" s="1">
        <v>1</v>
      </c>
      <c r="O19" s="1">
        <v>1</v>
      </c>
      <c r="T19" s="1">
        <v>1</v>
      </c>
      <c r="X19" s="1">
        <f>COUNTIF(B19:W19,1)+COUNTIF(B19:W19,"IC")</f>
        <v>5</v>
      </c>
      <c r="Y19" s="1" t="str">
        <f>IF(COUNTIF(B19:W19,"M")&gt;0,"N/A (absence longue)",IF(X19&gt;=2,"Atteint","Sous objectif"))</f>
        <v>Atteint</v>
      </c>
    </row>
    <row r="20">
      <c r="A20" s="1" t="str">
        <v>François L'Hostis</v>
      </c>
      <c r="B20" s="1">
        <v>1</v>
      </c>
      <c r="G20" s="1">
        <v>1</v>
      </c>
      <c r="N20" s="1">
        <v>1</v>
      </c>
      <c r="T20" s="1">
        <v>1</v>
      </c>
      <c r="X20" s="1">
        <f>COUNTIF(B20:W20,1)+COUNTIF(B20:W20,"IC")</f>
        <v>4</v>
      </c>
      <c r="Y20" s="1" t="str">
        <f>IF(COUNTIF(B20:W20,"M")&gt;0,"N/A (absence longue)",IF(X20&gt;=2,"Atteint","Sous objectif"))</f>
        <v>Atteint</v>
      </c>
    </row>
    <row r="21">
      <c r="A21" s="1" t="str">
        <v>Barnabé Melaine</v>
      </c>
      <c r="F21" s="1">
        <v>1</v>
      </c>
      <c r="M21" s="1">
        <v>1</v>
      </c>
      <c r="O21" s="1">
        <v>1</v>
      </c>
      <c r="T21" s="1">
        <v>1</v>
      </c>
      <c r="X21" s="1">
        <f>COUNTIF(B21:W21,1)+COUNTIF(B21:W21,"IC")</f>
        <v>4</v>
      </c>
      <c r="Y21" s="1" t="str">
        <f>IF(COUNTIF(B21:W21,"M")&gt;0,"N/A (absence longue)",IF(X21&gt;=2,"Atteint","Sous objectif"))</f>
        <v>Atteint</v>
      </c>
    </row>
    <row r="22">
      <c r="A22" s="1" t="str">
        <v>Bertrand Mignot</v>
      </c>
      <c r="M22" s="1">
        <v>1</v>
      </c>
      <c r="X22" s="1">
        <f>COUNTIF(B22:W22,1)+COUNTIF(B22:W22,"IC")</f>
        <v>1</v>
      </c>
      <c r="Y22" s="1" t="str">
        <f>IF(COUNTIF(B22:W22,"M")&gt;0,"N/A (absence longue)",IF(X22&gt;=2,"Atteint","Sous objectif"))</f>
        <v>Sous objectif</v>
      </c>
    </row>
    <row r="23">
      <c r="A23" s="1" t="str">
        <v>Anthony Mocaer</v>
      </c>
      <c r="T23" s="1">
        <v>1</v>
      </c>
      <c r="X23" s="1">
        <f>COUNTIF(B23:W23,1)+COUNTIF(B23:W23,"IC")</f>
        <v>1</v>
      </c>
      <c r="Y23" s="1" t="str">
        <f>IF(COUNTIF(B23:W23,"M")&gt;0,"N/A (absence longue)",IF(X23&gt;=2,"Atteint","Sous objectif"))</f>
        <v>Sous objectif</v>
      </c>
    </row>
    <row r="24">
      <c r="A24" s="1" t="str">
        <v>Esther Mussot</v>
      </c>
      <c r="R24" s="1">
        <v>1</v>
      </c>
      <c r="T24" s="1">
        <v>1</v>
      </c>
      <c r="V24" s="1">
        <v>1</v>
      </c>
      <c r="W24" s="1">
        <v>1</v>
      </c>
      <c r="X24" s="1">
        <f>COUNTIF(B24:W24,1)+COUNTIF(B24:W24,"IC")</f>
        <v>4</v>
      </c>
      <c r="Y24" s="1" t="str">
        <f>IF(COUNTIF(B24:W24,"M")&gt;0,"N/A (absence longue)",IF(X24&gt;=2,"Atteint","Sous objectif"))</f>
        <v>Atteint</v>
      </c>
    </row>
    <row r="25">
      <c r="A25" s="1" t="str">
        <v>Florian Roudier</v>
      </c>
      <c r="T25" s="1">
        <v>1</v>
      </c>
      <c r="X25" s="1">
        <f>COUNTIF(B25:W25,1)+COUNTIF(B25:W25,"IC")</f>
        <v>1</v>
      </c>
      <c r="Y25" s="1" t="str">
        <f>IF(COUNTIF(B25:W25,"M")&gt;0,"N/A (absence longue)",IF(X25&gt;=2,"Atteint","Sous objectif"))</f>
        <v>Sous objectif</v>
      </c>
    </row>
    <row r="26">
      <c r="A26" s="1" t="str">
        <v>Nacim Souni</v>
      </c>
      <c r="X26" s="1">
        <f>COUNTIF(B26:W26,1)+COUNTIF(B26:W26,"IC")</f>
        <v>0</v>
      </c>
      <c r="Y26" s="1" t="str">
        <f>IF(COUNTIF(B26:W26,"M")&gt;0,"N/A (absence longue)",IF(X26&gt;=2,"Atteint","Sous objectif"))</f>
        <v>Sous objectif</v>
      </c>
    </row>
    <row r="27">
      <c r="A27" s="1" t="str">
        <v>Sandra Tang</v>
      </c>
      <c r="O27" s="1">
        <v>1</v>
      </c>
      <c r="T27" s="1">
        <v>1</v>
      </c>
      <c r="X27" s="1">
        <f>COUNTIF(B27:W27,1)+COUNTIF(B27:W27,"IC")</f>
        <v>2</v>
      </c>
      <c r="Y27" s="1" t="str">
        <f>IF(COUNTIF(B27:W27,"M")&gt;0,"N/A (absence longue)",IF(X27&gt;=2,"Atteint","Sous objectif"))</f>
        <v>Atteint</v>
      </c>
    </row>
    <row r="28">
      <c r="A28" s="1" t="str">
        <v>Mathieu Ultsch</v>
      </c>
      <c r="I28" s="1">
        <v>1</v>
      </c>
      <c r="M28" s="1">
        <v>1</v>
      </c>
      <c r="R28" s="1">
        <v>1</v>
      </c>
      <c r="W28" s="1">
        <v>1</v>
      </c>
      <c r="X28" s="1">
        <f>COUNTIF(B28:W28,1)+COUNTIF(B28:W28,"IC")</f>
        <v>4</v>
      </c>
      <c r="Y28" s="1" t="str">
        <f>IF(COUNTIF(B28:W28,"M")&gt;0,"N/A (absence longue)",IF(X28&gt;=2,"Atteint","Sous objectif"))</f>
        <v>Atteint</v>
      </c>
    </row>
    <row r="29">
      <c r="A29" s="1" t="str">
        <v>Amandine Ziegler</v>
      </c>
      <c r="M29" s="1">
        <v>1</v>
      </c>
      <c r="R29" s="1">
        <v>1</v>
      </c>
      <c r="T29" s="1">
        <v>1</v>
      </c>
      <c r="X29" s="1">
        <f>COUNTIF(B29:W29,1)+COUNTIF(B29:W29,"IC")</f>
        <v>3</v>
      </c>
      <c r="Y29" s="1" t="str">
        <f>IF(COUNTIF(B29:W29,"M")&gt;0,"N/A (absence longue)",IF(X29&gt;=2,"Atteint","Sous objectif"))</f>
        <v>Atteint</v>
      </c>
    </row>
    <row r="32">
      <c r="A32" s="1" t="str">
        <v>— Événements —</v>
      </c>
      <c r="T32" s="1" t="str">
        <v>X</v>
      </c>
    </row>
    <row r="33">
      <c r="A33" s="1" t="str">
        <v>XO Day</v>
      </c>
    </row>
    <row r="34">
      <c r="A34" s="1" t="str">
        <v>XO Product Day</v>
      </c>
    </row>
    <row r="35">
      <c r="A35" s="1" t="str">
        <v>Séminaire</v>
      </c>
    </row>
  </sheetData>
  <pageMargins left="0.75" right="0.75" top="1" bottom="1" header="0.511811023622047" footer="0.511811023622047"/>
  <ignoredErrors>
    <ignoredError numberStoredAsText="1" sqref="A1:Y3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Y35"/>
  <sheetViews>
    <sheetView workbookViewId="0" rightToLeft="0"/>
  </sheetViews>
  <sheetData>
    <row r="1">
      <c r="A1" s="1" t="str">
        <v>Saisie présence — Avril 2026</v>
      </c>
    </row>
    <row r="3">
      <c r="A3" s="1" t="str">
        <v>Consultant</v>
      </c>
      <c r="B3" s="1">
        <v>46113</v>
      </c>
      <c r="C3" s="1">
        <v>46114</v>
      </c>
      <c r="D3" s="1">
        <v>46115</v>
      </c>
      <c r="E3" s="1">
        <v>46118</v>
      </c>
      <c r="F3" s="1">
        <v>46119</v>
      </c>
      <c r="G3" s="1">
        <v>46120</v>
      </c>
      <c r="H3" s="1">
        <v>46121</v>
      </c>
      <c r="I3" s="1">
        <v>46122</v>
      </c>
      <c r="J3" s="1">
        <v>46125</v>
      </c>
      <c r="K3" s="1">
        <v>46126</v>
      </c>
      <c r="L3" s="1">
        <v>46127</v>
      </c>
      <c r="M3" s="1">
        <v>46128</v>
      </c>
      <c r="N3" s="1">
        <v>46129</v>
      </c>
      <c r="O3" s="1">
        <v>46132</v>
      </c>
      <c r="P3" s="1">
        <v>46133</v>
      </c>
      <c r="Q3" s="1">
        <v>46134</v>
      </c>
      <c r="R3" s="1">
        <v>46135</v>
      </c>
      <c r="S3" s="1">
        <v>46136</v>
      </c>
      <c r="T3" s="1">
        <v>46139</v>
      </c>
      <c r="U3" s="1">
        <v>46140</v>
      </c>
      <c r="V3" s="1">
        <v>46141</v>
      </c>
      <c r="W3" s="1">
        <v>46142</v>
      </c>
      <c r="X3" s="1" t="str">
        <v>Total</v>
      </c>
      <c r="Y3" s="1" t="str">
        <v>Statut OKR</v>
      </c>
    </row>
    <row r="4">
      <c r="A4" s="1" t="str">
        <v>Eva Andrzejewski</v>
      </c>
      <c r="R4" s="1">
        <v>1</v>
      </c>
      <c r="X4" s="1">
        <f>COUNTIF(B4:W4,1)+COUNTIF(B4:W4,"IC")</f>
        <v>1</v>
      </c>
      <c r="Y4" s="1" t="str">
        <f>IF(COUNTIF(B4:W4,"M")&gt;0,"N/A (absence longue)",IF(X4&gt;=2,"Atteint","Sous objectif"))</f>
        <v>Sous objectif</v>
      </c>
    </row>
    <row r="5">
      <c r="A5" s="1" t="str">
        <v>Zelal Aslan</v>
      </c>
      <c r="C5" s="1" t="str">
        <v>IC</v>
      </c>
      <c r="F5" s="1" t="str">
        <v>IC</v>
      </c>
      <c r="H5" s="1" t="str">
        <v>IC</v>
      </c>
      <c r="J5" s="1" t="str">
        <v>IC</v>
      </c>
      <c r="K5" s="1" t="str">
        <v>IC</v>
      </c>
      <c r="M5" s="1" t="str">
        <v>IC</v>
      </c>
      <c r="O5" s="1" t="str">
        <v>IC</v>
      </c>
      <c r="R5" s="1" t="str">
        <v>IC</v>
      </c>
      <c r="X5" s="1">
        <f>COUNTIF(B5:W5,1)+COUNTIF(B5:W5,"IC")</f>
        <v>8</v>
      </c>
      <c r="Y5" s="1" t="str">
        <f>IF(COUNTIF(B5:W5,"M")&gt;0,"N/A (absence longue)",IF(X5&gt;=2,"Atteint","Sous objectif"))</f>
        <v>Atteint</v>
      </c>
    </row>
    <row r="6">
      <c r="A6" s="1" t="str">
        <v>Calixte Bailly</v>
      </c>
      <c r="R6" s="1">
        <v>1</v>
      </c>
      <c r="X6" s="1">
        <f>COUNTIF(B6:W6,1)+COUNTIF(B6:W6,"IC")</f>
        <v>1</v>
      </c>
      <c r="Y6" s="1" t="str">
        <f>IF(COUNTIF(B6:W6,"M")&gt;0,"N/A (absence longue)",IF(X6&gt;=2,"Atteint","Sous objectif"))</f>
        <v>Sous objectif</v>
      </c>
    </row>
    <row r="7">
      <c r="A7" s="1" t="str">
        <v>Laureline Berthou</v>
      </c>
      <c r="K7" s="1">
        <v>1</v>
      </c>
      <c r="M7" s="1">
        <v>1</v>
      </c>
      <c r="R7" s="1">
        <v>1</v>
      </c>
      <c r="X7" s="1">
        <f>COUNTIF(B7:W7,1)+COUNTIF(B7:W7,"IC")</f>
        <v>3</v>
      </c>
      <c r="Y7" s="1" t="str">
        <f>IF(COUNTIF(B7:W7,"M")&gt;0,"N/A (absence longue)",IF(X7&gt;=2,"Atteint","Sous objectif"))</f>
        <v>Atteint</v>
      </c>
    </row>
    <row r="8">
      <c r="A8" s="1" t="str">
        <v>Julien Calvao</v>
      </c>
      <c r="C8" s="1" t="str">
        <v>IC</v>
      </c>
      <c r="F8" s="1" t="str">
        <v>IC</v>
      </c>
      <c r="H8" s="1" t="str">
        <v>IC</v>
      </c>
      <c r="J8" s="1" t="str">
        <v>IC</v>
      </c>
      <c r="K8" s="1" t="str">
        <v>IC</v>
      </c>
      <c r="M8" s="1" t="str">
        <v>IC</v>
      </c>
      <c r="O8" s="1" t="str">
        <v>IC</v>
      </c>
      <c r="P8" s="1" t="str">
        <v>IC</v>
      </c>
      <c r="R8" s="1" t="str">
        <v>IC</v>
      </c>
      <c r="X8" s="1">
        <f>COUNTIF(B8:W8,1)+COUNTIF(B8:W8,"IC")</f>
        <v>9</v>
      </c>
      <c r="Y8" s="1" t="str">
        <f>IF(COUNTIF(B8:W8,"M")&gt;0,"N/A (absence longue)",IF(X8&gt;=2,"Atteint","Sous objectif"))</f>
        <v>Atteint</v>
      </c>
    </row>
    <row r="9">
      <c r="A9" s="1" t="str">
        <v>Axel Charletoux</v>
      </c>
      <c r="F9" s="1">
        <v>1</v>
      </c>
      <c r="R9" s="1">
        <v>1</v>
      </c>
      <c r="X9" s="1">
        <f>COUNTIF(B9:W9,1)+COUNTIF(B9:W9,"IC")</f>
        <v>2</v>
      </c>
      <c r="Y9" s="1" t="str">
        <f>IF(COUNTIF(B9:W9,"M")&gt;0,"N/A (absence longue)",IF(X9&gt;=2,"Atteint","Sous objectif"))</f>
        <v>Atteint</v>
      </c>
    </row>
    <row r="10">
      <c r="A10" s="1" t="str">
        <v>Geoffroy Debellabre</v>
      </c>
      <c r="C10" s="1">
        <v>1</v>
      </c>
      <c r="R10" s="1">
        <v>1</v>
      </c>
      <c r="X10" s="1">
        <f>COUNTIF(B10:W10,1)+COUNTIF(B10:W10,"IC")</f>
        <v>2</v>
      </c>
      <c r="Y10" s="1" t="str">
        <f>IF(COUNTIF(B10:W10,"M")&gt;0,"N/A (absence longue)",IF(X10&gt;=2,"Atteint","Sous objectif"))</f>
        <v>Atteint</v>
      </c>
    </row>
    <row r="11">
      <c r="A11" s="1" t="str">
        <v>Anthéa Delpuech</v>
      </c>
      <c r="R11" s="1">
        <v>1</v>
      </c>
      <c r="X11" s="1">
        <f>COUNTIF(B11:W11,1)+COUNTIF(B11:W11,"IC")</f>
        <v>1</v>
      </c>
      <c r="Y11" s="1" t="str">
        <f>IF(COUNTIF(B11:W11,"M")&gt;0,"N/A (absence longue)",IF(X11&gt;=2,"Atteint","Sous objectif"))</f>
        <v>Sous objectif</v>
      </c>
    </row>
    <row r="12">
      <c r="A12" s="1" t="str">
        <v>Alexandre Dieulesaint</v>
      </c>
      <c r="F12" s="1">
        <v>1</v>
      </c>
      <c r="X12" s="1">
        <f>COUNTIF(B12:W12,1)+COUNTIF(B12:W12,"IC")</f>
        <v>1</v>
      </c>
      <c r="Y12" s="1" t="str">
        <f>IF(COUNTIF(B12:W12,"M")&gt;0,"N/A (absence longue)",IF(X12&gt;=2,"Atteint","Sous objectif"))</f>
        <v>Sous objectif</v>
      </c>
    </row>
    <row r="13">
      <c r="A13" s="1" t="str">
        <v>Théo Esposito</v>
      </c>
      <c r="M13" s="1">
        <v>1</v>
      </c>
      <c r="R13" s="1">
        <v>1</v>
      </c>
      <c r="X13" s="1">
        <f>COUNTIF(B13:W13,1)+COUNTIF(B13:W13,"IC")</f>
        <v>2</v>
      </c>
      <c r="Y13" s="1" t="str">
        <f>IF(COUNTIF(B13:W13,"M")&gt;0,"N/A (absence longue)",IF(X13&gt;=2,"Atteint","Sous objectif"))</f>
        <v>Atteint</v>
      </c>
    </row>
    <row r="14">
      <c r="A14" s="1" t="str">
        <v>Vincent Girard</v>
      </c>
      <c r="F14" s="1">
        <v>1</v>
      </c>
      <c r="R14" s="1">
        <v>1</v>
      </c>
      <c r="X14" s="1">
        <f>COUNTIF(B14:W14,1)+COUNTIF(B14:W14,"IC")</f>
        <v>2</v>
      </c>
      <c r="Y14" s="1" t="str">
        <f>IF(COUNTIF(B14:W14,"M")&gt;0,"N/A (absence longue)",IF(X14&gt;=2,"Atteint","Sous objectif"))</f>
        <v>Atteint</v>
      </c>
    </row>
    <row r="15">
      <c r="A15" s="1" t="str">
        <v>Caroline Hamoud</v>
      </c>
      <c r="F15" s="1">
        <v>1</v>
      </c>
      <c r="O15" s="1" t="str">
        <v>IC</v>
      </c>
      <c r="Q15" s="1" t="str">
        <v>IC</v>
      </c>
      <c r="X15" s="1">
        <f>COUNTIF(B15:W15,1)+COUNTIF(B15:W15,"IC")</f>
        <v>3</v>
      </c>
      <c r="Y15" s="1" t="str">
        <f>IF(COUNTIF(B15:W15,"M")&gt;0,"N/A (absence longue)",IF(X15&gt;=2,"Atteint","Sous objectif"))</f>
        <v>Atteint</v>
      </c>
    </row>
    <row r="16">
      <c r="A16" s="1" t="str">
        <v>Félix Hantraye</v>
      </c>
      <c r="F16" s="1">
        <v>1</v>
      </c>
      <c r="R16" s="1">
        <v>1</v>
      </c>
      <c r="X16" s="1">
        <f>COUNTIF(B16:W16,1)+COUNTIF(B16:W16,"IC")</f>
        <v>2</v>
      </c>
      <c r="Y16" s="1" t="str">
        <f>IF(COUNTIF(B16:W16,"M")&gt;0,"N/A (absence longue)",IF(X16&gt;=2,"Atteint","Sous objectif"))</f>
        <v>Atteint</v>
      </c>
    </row>
    <row r="17">
      <c r="A17" s="1" t="str">
        <v>Simon Kerhyuel</v>
      </c>
      <c r="F17" s="1">
        <v>1</v>
      </c>
      <c r="R17" s="1">
        <v>1</v>
      </c>
      <c r="X17" s="1">
        <f>COUNTIF(B17:W17,1)+COUNTIF(B17:W17,"IC")</f>
        <v>2</v>
      </c>
      <c r="Y17" s="1" t="str">
        <f>IF(COUNTIF(B17:W17,"M")&gt;0,"N/A (absence longue)",IF(X17&gt;=2,"Atteint","Sous objectif"))</f>
        <v>Atteint</v>
      </c>
    </row>
    <row r="18">
      <c r="A18" s="1" t="str">
        <v>Matthieu Le Corre</v>
      </c>
      <c r="H18" s="1">
        <v>1</v>
      </c>
      <c r="K18" s="1">
        <v>1</v>
      </c>
      <c r="M18" s="1">
        <v>1</v>
      </c>
      <c r="R18" s="1">
        <v>1</v>
      </c>
      <c r="X18" s="1">
        <f>COUNTIF(B18:W18,1)+COUNTIF(B18:W18,"IC")</f>
        <v>4</v>
      </c>
      <c r="Y18" s="1" t="str">
        <f>IF(COUNTIF(B18:W18,"M")&gt;0,"N/A (absence longue)",IF(X18&gt;=2,"Atteint","Sous objectif"))</f>
        <v>Atteint</v>
      </c>
    </row>
    <row r="19">
      <c r="A19" s="1" t="str">
        <v>Florian Le Fur</v>
      </c>
      <c r="J19" s="1">
        <v>1</v>
      </c>
      <c r="L19" s="1">
        <v>1</v>
      </c>
      <c r="R19" s="1">
        <v>1</v>
      </c>
      <c r="X19" s="1">
        <f>COUNTIF(B19:W19,1)+COUNTIF(B19:W19,"IC")</f>
        <v>3</v>
      </c>
      <c r="Y19" s="1" t="str">
        <f>IF(COUNTIF(B19:W19,"M")&gt;0,"N/A (absence longue)",IF(X19&gt;=2,"Atteint","Sous objectif"))</f>
        <v>Atteint</v>
      </c>
    </row>
    <row r="20">
      <c r="A20" s="1" t="str">
        <v>François L'Hostis</v>
      </c>
      <c r="H20" s="1">
        <v>1</v>
      </c>
      <c r="L20" s="1">
        <v>1</v>
      </c>
      <c r="R20" s="1">
        <v>1</v>
      </c>
      <c r="X20" s="1">
        <f>COUNTIF(B20:W20,1)+COUNTIF(B20:W20,"IC")</f>
        <v>3</v>
      </c>
      <c r="Y20" s="1" t="str">
        <f>IF(COUNTIF(B20:W20,"M")&gt;0,"N/A (absence longue)",IF(X20&gt;=2,"Atteint","Sous objectif"))</f>
        <v>Atteint</v>
      </c>
    </row>
    <row r="21">
      <c r="A21" s="1" t="str">
        <v>Barnabé Melaine</v>
      </c>
      <c r="F21" s="1">
        <v>1</v>
      </c>
      <c r="J21" s="1">
        <v>1</v>
      </c>
      <c r="R21" s="1">
        <v>1</v>
      </c>
      <c r="X21" s="1">
        <f>COUNTIF(B21:W21,1)+COUNTIF(B21:W21,"IC")</f>
        <v>3</v>
      </c>
      <c r="Y21" s="1" t="str">
        <f>IF(COUNTIF(B21:W21,"M")&gt;0,"N/A (absence longue)",IF(X21&gt;=2,"Atteint","Sous objectif"))</f>
        <v>Atteint</v>
      </c>
    </row>
    <row r="22">
      <c r="A22" s="1" t="str">
        <v>Bertrand Mignot</v>
      </c>
      <c r="M22" s="1">
        <v>1</v>
      </c>
      <c r="R22" s="1">
        <v>1</v>
      </c>
      <c r="X22" s="1">
        <f>COUNTIF(B22:W22,1)+COUNTIF(B22:W22,"IC")</f>
        <v>2</v>
      </c>
      <c r="Y22" s="1" t="str">
        <f>IF(COUNTIF(B22:W22,"M")&gt;0,"N/A (absence longue)",IF(X22&gt;=2,"Atteint","Sous objectif"))</f>
        <v>Atteint</v>
      </c>
    </row>
    <row r="23">
      <c r="A23" s="1" t="str">
        <v>Anthony Mocaer</v>
      </c>
      <c r="M23" s="1">
        <v>1</v>
      </c>
      <c r="R23" s="1">
        <v>1</v>
      </c>
      <c r="X23" s="1">
        <f>COUNTIF(B23:W23,1)+COUNTIF(B23:W23,"IC")</f>
        <v>2</v>
      </c>
      <c r="Y23" s="1" t="str">
        <f>IF(COUNTIF(B23:W23,"M")&gt;0,"N/A (absence longue)",IF(X23&gt;=2,"Atteint","Sous objectif"))</f>
        <v>Atteint</v>
      </c>
    </row>
    <row r="24">
      <c r="A24" s="1" t="str">
        <v>Esther Mussot</v>
      </c>
      <c r="C24" s="1" t="str">
        <v>IC</v>
      </c>
      <c r="R24" s="1">
        <v>1</v>
      </c>
      <c r="X24" s="1">
        <f>COUNTIF(B24:W24,1)+COUNTIF(B24:W24,"IC")</f>
        <v>2</v>
      </c>
      <c r="Y24" s="1" t="str">
        <f>IF(COUNTIF(B24:W24,"M")&gt;0,"N/A (absence longue)",IF(X24&gt;=2,"Atteint","Sous objectif"))</f>
        <v>Atteint</v>
      </c>
    </row>
    <row r="25">
      <c r="A25" s="1" t="str">
        <v>Florian Roudier</v>
      </c>
      <c r="J25" s="1">
        <v>1</v>
      </c>
      <c r="R25" s="1">
        <v>1</v>
      </c>
      <c r="X25" s="1">
        <f>COUNTIF(B25:W25,1)+COUNTIF(B25:W25,"IC")</f>
        <v>2</v>
      </c>
      <c r="Y25" s="1" t="str">
        <f>IF(COUNTIF(B25:W25,"M")&gt;0,"N/A (absence longue)",IF(X25&gt;=2,"Atteint","Sous objectif"))</f>
        <v>Atteint</v>
      </c>
    </row>
    <row r="26">
      <c r="A26" s="1" t="str">
        <v>Nacim Souni</v>
      </c>
      <c r="R26" s="1">
        <v>1</v>
      </c>
      <c r="X26" s="1">
        <f>COUNTIF(B26:W26,1)+COUNTIF(B26:W26,"IC")</f>
        <v>1</v>
      </c>
      <c r="Y26" s="1" t="str">
        <f>IF(COUNTIF(B26:W26,"M")&gt;0,"N/A (absence longue)",IF(X26&gt;=2,"Atteint","Sous objectif"))</f>
        <v>Sous objectif</v>
      </c>
    </row>
    <row r="27">
      <c r="A27" s="1" t="str">
        <v>Sandra Tang</v>
      </c>
      <c r="R27" s="1">
        <v>1</v>
      </c>
      <c r="X27" s="1">
        <f>COUNTIF(B27:W27,1)+COUNTIF(B27:W27,"IC")</f>
        <v>1</v>
      </c>
      <c r="Y27" s="1" t="str">
        <f>IF(COUNTIF(B27:W27,"M")&gt;0,"N/A (absence longue)",IF(X27&gt;=2,"Atteint","Sous objectif"))</f>
        <v>Sous objectif</v>
      </c>
    </row>
    <row r="28">
      <c r="A28" s="1" t="str">
        <v>Mathieu Ultsch</v>
      </c>
      <c r="F28" s="1">
        <v>1</v>
      </c>
      <c r="K28" s="1">
        <v>1</v>
      </c>
      <c r="R28" s="1">
        <v>1</v>
      </c>
      <c r="X28" s="1">
        <f>COUNTIF(B28:W28,1)+COUNTIF(B28:W28,"IC")</f>
        <v>3</v>
      </c>
      <c r="Y28" s="1" t="str">
        <f>IF(COUNTIF(B28:W28,"M")&gt;0,"N/A (absence longue)",IF(X28&gt;=2,"Atteint","Sous objectif"))</f>
        <v>Atteint</v>
      </c>
    </row>
    <row r="29">
      <c r="A29" s="1" t="str">
        <v>Amandine Ziegler</v>
      </c>
      <c r="F29" s="1">
        <v>1</v>
      </c>
      <c r="K29" s="1">
        <v>1</v>
      </c>
      <c r="P29" s="1">
        <v>1</v>
      </c>
      <c r="R29" s="1">
        <v>1</v>
      </c>
      <c r="X29" s="1">
        <f>COUNTIF(B29:W29,1)+COUNTIF(B29:W29,"IC")</f>
        <v>4</v>
      </c>
      <c r="Y29" s="1" t="str">
        <f>IF(COUNTIF(B29:W29,"M")&gt;0,"N/A (absence longue)",IF(X29&gt;=2,"Atteint","Sous objectif"))</f>
        <v>Atteint</v>
      </c>
    </row>
    <row r="32">
      <c r="A32" s="1" t="str">
        <v>— Événements —</v>
      </c>
      <c r="R32" s="1" t="str">
        <v>X</v>
      </c>
    </row>
    <row r="33">
      <c r="A33" s="1" t="str">
        <v>XO Day</v>
      </c>
    </row>
    <row r="34">
      <c r="A34" s="1" t="str">
        <v>XO Product Day</v>
      </c>
    </row>
    <row r="35">
      <c r="A35" s="1" t="str">
        <v>Séminaire</v>
      </c>
    </row>
  </sheetData>
  <pageMargins left="0.75" right="0.75" top="1" bottom="1" header="0.511811023622047" footer="0.511811023622047"/>
  <ignoredErrors>
    <ignoredError numberStoredAsText="1" sqref="A1:Y3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F7"/>
  <sheetViews>
    <sheetView workbookViewId="0" rightToLeft="0"/>
  </sheetViews>
  <sheetData>
    <row r="1">
      <c r="A1" s="1" t="str">
        <v>Log — format long (alimentation automatique)</v>
      </c>
    </row>
    <row r="3">
      <c r="A3" s="1" t="str">
        <v>Ce tableau consolide automatiquement les données de tous les onglets de saisie au format long (1 ligne = 1 jour × 1 consultant × 1 statut). C'est ce tableau qui est exporté en CSV pour alimenter le dashboard.</v>
      </c>
    </row>
    <row r="5">
      <c r="A5" s="1" t="str">
        <v>Important : ne pas saisir manuellement dans cet onglet. Toute saisie se fait dans les onglets "Saisie YYYY-MM".</v>
      </c>
    </row>
    <row r="7">
      <c r="A7" s="1" t="str">
        <v>Date</v>
      </c>
      <c r="B7" s="1" t="str">
        <v>Année-Mois</v>
      </c>
      <c r="C7" s="1" t="str">
        <v>Jour semaine</v>
      </c>
      <c r="D7" s="1" t="str">
        <v>Consultant</v>
      </c>
      <c r="E7" s="1" t="str">
        <v>Statut</v>
      </c>
      <c r="F7" s="1" t="str">
        <v>Source</v>
      </c>
    </row>
  </sheetData>
  <mergeCells count="3">
    <mergeCell ref="A1:F1"/>
    <mergeCell ref="A3:F3"/>
    <mergeCell ref="A5:F5"/>
  </mergeCells>
  <pageMargins left="0.75" right="0.75" top="1" bottom="1" header="0.511811023622047" footer="0.511811023622047"/>
  <ignoredErrors>
    <ignoredError numberStoredAsText="1" sqref="A1:F7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/>
  </sheetViews>
  <sheetData>
    <row r="1">
      <c r="A1" s="1" t="str">
        <v>Synthèse mensuelle — KPI agrégés</v>
      </c>
    </row>
    <row r="3">
      <c r="A3" s="1" t="str">
        <v>Ces KPI sont calculés automatiquement depuis les onglets de saisie mensuelle.</v>
      </c>
    </row>
    <row r="5">
      <c r="A5" s="1" t="str">
        <v>Mois</v>
      </c>
      <c r="B5" s="1" t="str">
        <v>Nb consultants</v>
      </c>
      <c r="C5" s="1" t="str">
        <v>Présences totales</v>
      </c>
      <c r="D5" s="1" t="str">
        <v>Atteinte OKR (%)</v>
      </c>
      <c r="E5" s="1" t="str">
        <v>Moyenne (j)</v>
      </c>
      <c r="F5" s="1" t="str">
        <v>Venus ≥1x</v>
      </c>
      <c r="G5" s="1" t="str">
        <v>Pic du mois</v>
      </c>
    </row>
    <row r="6">
      <c r="A6" s="1" t="str">
        <v>Février 2026</v>
      </c>
      <c r="B6" s="1">
        <f>COUNTIF('Saisie 2026-02'!W4:W29,"Atteint")+COUNTIF('Saisie 2026-02'!W4:W29,"Sous objectif")</f>
        <v>25</v>
      </c>
      <c r="C6" s="1">
        <f>SUM('Saisie 2026-02'!V4:V29)</f>
        <v>73</v>
      </c>
      <c r="D6" s="1">
        <f>IFERROR(COUNTIF('Saisie 2026-02'!W4:W29,"Atteint")/(COUNTIF('Saisie 2026-02'!W4:W29,"Atteint")+COUNTIF('Saisie 2026-02'!W4:W29,"Sous objectif")),0)</f>
        <v>0.6</v>
      </c>
      <c r="E6" s="1">
        <f>IFERROR(SUM('Saisie 2026-02'!V4:V29)/(COUNTIF('Saisie 2026-02'!W4:W29,"Atteint")+COUNTIF('Saisie 2026-02'!W4:W29,"Sous objectif")),0)</f>
        <v>2.92</v>
      </c>
      <c r="F6" s="1">
        <f>COUNTIF('Saisie 2026-02'!V4:V29,"&gt;=1")</f>
        <v>20</v>
      </c>
      <c r="G6" s="1" t="str">
        <v>À calculer manuellement / via dashboard</v>
      </c>
    </row>
    <row r="7">
      <c r="A7" s="1" t="str">
        <v>Mars 2026</v>
      </c>
      <c r="B7" s="1">
        <f>COUNTIF('Saisie 2026-03'!Y4:Y29,"Atteint")+COUNTIF('Saisie 2026-03'!Y4:Y29,"Sous objectif")</f>
        <v>25</v>
      </c>
      <c r="C7" s="1">
        <f>SUM('Saisie 2026-03'!X4:X29)</f>
        <v>72</v>
      </c>
      <c r="D7" s="1">
        <f>IFERROR(COUNTIF('Saisie 2026-03'!Y4:Y29,"Atteint")/(COUNTIF('Saisie 2026-03'!Y4:Y29,"Atteint")+COUNTIF('Saisie 2026-03'!Y4:Y29,"Sous objectif")),0)</f>
        <v>0.6</v>
      </c>
      <c r="E7" s="1">
        <f>IFERROR(SUM('Saisie 2026-03'!X4:X29)/(COUNTIF('Saisie 2026-03'!Y4:Y29,"Atteint")+COUNTIF('Saisie 2026-03'!Y4:Y29,"Sous objectif")),0)</f>
        <v>2.88</v>
      </c>
      <c r="F7" s="1">
        <f>COUNTIF('Saisie 2026-03'!X4:X29,"&gt;=1")</f>
        <v>23</v>
      </c>
      <c r="G7" s="1" t="str">
        <v>À calculer manuellement / via dashboard</v>
      </c>
    </row>
    <row r="8">
      <c r="A8" s="1" t="str">
        <v>Avril 2026</v>
      </c>
      <c r="B8" s="1">
        <f>COUNTIF('Saisie 2026-04'!Y4:Y29,"Atteint")+COUNTIF('Saisie 2026-04'!Y4:Y29,"Sous objectif")</f>
        <v>26</v>
      </c>
      <c r="C8" s="1">
        <f>SUM('Saisie 2026-04'!X4:X29)</f>
        <v>69</v>
      </c>
      <c r="D8" s="1">
        <f>IFERROR(COUNTIF('Saisie 2026-04'!Y4:Y29,"Atteint")/(COUNTIF('Saisie 2026-04'!Y4:Y29,"Atteint")+COUNTIF('Saisie 2026-04'!Y4:Y29,"Sous objectif")),0)</f>
        <v>0.769230769230769</v>
      </c>
      <c r="E8" s="1">
        <f>IFERROR(SUM('Saisie 2026-04'!X4:X29)/(COUNTIF('Saisie 2026-04'!Y4:Y29,"Atteint")+COUNTIF('Saisie 2026-04'!Y4:Y29,"Sous objectif")),0)</f>
        <v>2.65384615384615</v>
      </c>
      <c r="F8" s="1">
        <f>COUNTIF('Saisie 2026-04'!X4:X29,"&gt;=1")</f>
        <v>26</v>
      </c>
      <c r="G8" s="1" t="str">
        <v>À calculer manuellement / via dashboard</v>
      </c>
    </row>
    <row r="10">
      <c r="A10" s="1" t="str">
        <v>Moyenne T2</v>
      </c>
      <c r="B10" s="1">
        <f>AVERAGE(B6:B8)</f>
        <v>25.3333333333333</v>
      </c>
      <c r="C10" s="1">
        <f>AVERAGE(C6:C8)</f>
        <v>71.3333333333333</v>
      </c>
      <c r="D10" s="1">
        <f>AVERAGE(D6:D8)</f>
        <v>0.656410256410256</v>
      </c>
      <c r="E10" s="1">
        <f>AVERAGE(E6:E8)</f>
        <v>2.81794871794872</v>
      </c>
      <c r="F10" s="1">
        <f>AVERAGE(F6:F8)</f>
        <v>23</v>
      </c>
    </row>
  </sheetData>
  <mergeCells count="2">
    <mergeCell ref="A1:H1"/>
    <mergeCell ref="A3:H3"/>
  </mergeCells>
  <pageMargins left="0.75" right="0.75" top="1" bottom="1" header="0.511811023622047" footer="0.511811023622047"/>
  <ignoredErrors>
    <ignoredError numberStoredAsText="1" sqref="A1:H1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s="1" t="str">
        <v>Synthèse par consultant — vue trimestrielle</v>
      </c>
    </row>
    <row r="3">
      <c r="A3" s="1" t="str">
        <v>Vue par consultant : présences et statut OKR par mois, plus régularité sur la période.</v>
      </c>
    </row>
    <row r="5">
      <c r="A5" s="1" t="str">
        <v>Consultant</v>
      </c>
      <c r="B5" s="1" t="str">
        <v>Févr. 2026</v>
      </c>
      <c r="C5" s="1" t="str">
        <v>Mars 2026</v>
      </c>
      <c r="D5" s="1" t="str">
        <v>Avr. 2026</v>
      </c>
      <c r="E5" s="1" t="str">
        <v>Mois ≥2j</v>
      </c>
      <c r="F5" s="1" t="str">
        <v>Régularité</v>
      </c>
    </row>
    <row r="6">
      <c r="A6" s="1" t="str">
        <v>Eva Andrzejewski</v>
      </c>
      <c r="B6" s="1">
        <f>IF('Saisie 2026-02'!W4="N/A (absence longue)","M",'Saisie 2026-02'!V4)</f>
        <v>3</v>
      </c>
      <c r="C6" s="1">
        <f>IF('Saisie 2026-03'!Y4="N/A (absence longue)","M",'Saisie 2026-03'!X4)</f>
        <v>3</v>
      </c>
      <c r="D6" s="1">
        <f>IF('Saisie 2026-04'!Y4="N/A (absence longue)","M",'Saisie 2026-04'!X4)</f>
        <v>1</v>
      </c>
      <c r="E6" s="1">
        <f>COUNTIF(B6:D6,"&gt;=2")</f>
        <v>2</v>
      </c>
      <c r="F6" s="1" t="str">
        <f>IF(E6=3,"3/3 ✓",IF(E6=2,"2/3",IF(E6=1,"1/3 ⚠",IF(E6=0,"0/3 ⚠⚠","-"))))</f>
        <v>2/3</v>
      </c>
    </row>
    <row r="7">
      <c r="A7" s="1" t="str">
        <v>Zelal Aslan</v>
      </c>
      <c r="B7" s="1" t="str">
        <f>IF('Saisie 2026-02'!W5="N/A (absence longue)","M",'Saisie 2026-02'!V5)</f>
        <v>M</v>
      </c>
      <c r="C7" s="1" t="str">
        <f>IF('Saisie 2026-03'!Y5="N/A (absence longue)","M",'Saisie 2026-03'!X5)</f>
        <v>M</v>
      </c>
      <c r="D7" s="1">
        <f>IF('Saisie 2026-04'!Y5="N/A (absence longue)","M",'Saisie 2026-04'!X5)</f>
        <v>8</v>
      </c>
      <c r="E7" s="1">
        <f>COUNTIF(B7:D7,"&gt;=2")</f>
        <v>1</v>
      </c>
      <c r="F7" s="1" t="str">
        <f>IF(E7=3,"3/3 ✓",IF(E7=2,"2/3",IF(E7=1,"1/3 ⚠",IF(E7=0,"0/3 ⚠⚠","-"))))</f>
        <v>1/3 ⚠</v>
      </c>
    </row>
    <row r="8">
      <c r="A8" s="1" t="str">
        <v>Calixte Bailly</v>
      </c>
      <c r="B8" s="1">
        <f>IF('Saisie 2026-02'!W6="N/A (absence longue)","M",'Saisie 2026-02'!V6)</f>
        <v>1</v>
      </c>
      <c r="C8" s="1">
        <f>IF('Saisie 2026-03'!Y6="N/A (absence longue)","M",'Saisie 2026-03'!X6)</f>
        <v>0</v>
      </c>
      <c r="D8" s="1">
        <f>IF('Saisie 2026-04'!Y6="N/A (absence longue)","M",'Saisie 2026-04'!X6)</f>
        <v>1</v>
      </c>
      <c r="E8" s="1">
        <f>COUNTIF(B8:D8,"&gt;=2")</f>
        <v>0</v>
      </c>
      <c r="F8" s="1" t="str">
        <f>IF(E8=3,"3/3 ✓",IF(E8=2,"2/3",IF(E8=1,"1/3 ⚠",IF(E8=0,"0/3 ⚠⚠","-"))))</f>
        <v>0/3 ⚠⚠</v>
      </c>
    </row>
    <row r="9">
      <c r="A9" s="1" t="str">
        <v>Laureline Berthou</v>
      </c>
      <c r="B9" s="1">
        <f>IF('Saisie 2026-02'!W7="N/A (absence longue)","M",'Saisie 2026-02'!V7)</f>
        <v>5</v>
      </c>
      <c r="C9" s="1">
        <f>IF('Saisie 2026-03'!Y7="N/A (absence longue)","M",'Saisie 2026-03'!X7)</f>
        <v>6</v>
      </c>
      <c r="D9" s="1">
        <f>IF('Saisie 2026-04'!Y7="N/A (absence longue)","M",'Saisie 2026-04'!X7)</f>
        <v>3</v>
      </c>
      <c r="E9" s="1">
        <f>COUNTIF(B9:D9,"&gt;=2")</f>
        <v>3</v>
      </c>
      <c r="F9" s="1" t="str">
        <f>IF(E9=3,"3/3 ✓",IF(E9=2,"2/3",IF(E9=1,"1/3 ⚠",IF(E9=0,"0/3 ⚠⚠","-"))))</f>
        <v>3/3 ✓</v>
      </c>
    </row>
    <row r="10">
      <c r="A10" s="1" t="str">
        <v>Julien Calvao</v>
      </c>
      <c r="B10" s="1">
        <f>IF('Saisie 2026-02'!W8="N/A (absence longue)","M",'Saisie 2026-02'!V8)</f>
        <v>11</v>
      </c>
      <c r="C10" s="1">
        <f>IF('Saisie 2026-03'!Y8="N/A (absence longue)","M",'Saisie 2026-03'!X8)</f>
        <v>12</v>
      </c>
      <c r="D10" s="1">
        <f>IF('Saisie 2026-04'!Y8="N/A (absence longue)","M",'Saisie 2026-04'!X8)</f>
        <v>9</v>
      </c>
      <c r="E10" s="1">
        <f>COUNTIF(B10:D10,"&gt;=2")</f>
        <v>3</v>
      </c>
      <c r="F10" s="1" t="str">
        <f>IF(E10=3,"3/3 ✓",IF(E10=2,"2/3",IF(E10=1,"1/3 ⚠",IF(E10=0,"0/3 ⚠⚠","-"))))</f>
        <v>3/3 ✓</v>
      </c>
    </row>
    <row r="11">
      <c r="A11" s="1" t="str">
        <v>Axel Charletoux</v>
      </c>
      <c r="B11" s="1">
        <f>IF('Saisie 2026-02'!W9="N/A (absence longue)","M",'Saisie 2026-02'!V9)</f>
        <v>1</v>
      </c>
      <c r="C11" s="1">
        <f>IF('Saisie 2026-03'!Y9="N/A (absence longue)","M",'Saisie 2026-03'!X9)</f>
        <v>1</v>
      </c>
      <c r="D11" s="1">
        <f>IF('Saisie 2026-04'!Y9="N/A (absence longue)","M",'Saisie 2026-04'!X9)</f>
        <v>2</v>
      </c>
      <c r="E11" s="1">
        <f>COUNTIF(B11:D11,"&gt;=2")</f>
        <v>1</v>
      </c>
      <c r="F11" s="1" t="str">
        <f>IF(E11=3,"3/3 ✓",IF(E11=2,"2/3",IF(E11=1,"1/3 ⚠",IF(E11=0,"0/3 ⚠⚠","-"))))</f>
        <v>1/3 ⚠</v>
      </c>
    </row>
    <row r="12">
      <c r="A12" s="1" t="str">
        <v>Geoffroy Debellabre</v>
      </c>
      <c r="B12" s="1">
        <f>IF('Saisie 2026-02'!W10="N/A (absence longue)","M",'Saisie 2026-02'!V10)</f>
        <v>0</v>
      </c>
      <c r="C12" s="1">
        <f>IF('Saisie 2026-03'!Y10="N/A (absence longue)","M",'Saisie 2026-03'!X10)</f>
        <v>2</v>
      </c>
      <c r="D12" s="1">
        <f>IF('Saisie 2026-04'!Y10="N/A (absence longue)","M",'Saisie 2026-04'!X10)</f>
        <v>2</v>
      </c>
      <c r="E12" s="1">
        <f>COUNTIF(B12:D12,"&gt;=2")</f>
        <v>2</v>
      </c>
      <c r="F12" s="1" t="str">
        <f>IF(E12=3,"3/3 ✓",IF(E12=2,"2/3",IF(E12=1,"1/3 ⚠",IF(E12=0,"0/3 ⚠⚠","-"))))</f>
        <v>2/3</v>
      </c>
    </row>
    <row r="13">
      <c r="A13" s="1" t="str">
        <v>Anthéa Delpuech</v>
      </c>
      <c r="B13" s="1">
        <f>IF('Saisie 2026-02'!W11="N/A (absence longue)","M",'Saisie 2026-02'!V11)</f>
        <v>4</v>
      </c>
      <c r="C13" s="1">
        <f>IF('Saisie 2026-03'!Y11="N/A (absence longue)","M",'Saisie 2026-03'!X11)</f>
        <v>1</v>
      </c>
      <c r="D13" s="1">
        <f>IF('Saisie 2026-04'!Y11="N/A (absence longue)","M",'Saisie 2026-04'!X11)</f>
        <v>1</v>
      </c>
      <c r="E13" s="1">
        <f>COUNTIF(B13:D13,"&gt;=2")</f>
        <v>1</v>
      </c>
      <c r="F13" s="1" t="str">
        <f>IF(E13=3,"3/3 ✓",IF(E13=2,"2/3",IF(E13=1,"1/3 ⚠",IF(E13=0,"0/3 ⚠⚠","-"))))</f>
        <v>1/3 ⚠</v>
      </c>
    </row>
    <row r="14">
      <c r="A14" s="1" t="str">
        <v>Alexandre Dieulesaint</v>
      </c>
      <c r="B14" s="1">
        <f>IF('Saisie 2026-02'!W12="N/A (absence longue)","M",'Saisie 2026-02'!V12)</f>
        <v>0</v>
      </c>
      <c r="C14" s="1">
        <f>IF('Saisie 2026-03'!Y12="N/A (absence longue)","M",'Saisie 2026-03'!X12)</f>
        <v>2</v>
      </c>
      <c r="D14" s="1">
        <f>IF('Saisie 2026-04'!Y12="N/A (absence longue)","M",'Saisie 2026-04'!X12)</f>
        <v>1</v>
      </c>
      <c r="E14" s="1">
        <f>COUNTIF(B14:D14,"&gt;=2")</f>
        <v>1</v>
      </c>
      <c r="F14" s="1" t="str">
        <f>IF(E14=3,"3/3 ✓",IF(E14=2,"2/3",IF(E14=1,"1/3 ⚠",IF(E14=0,"0/3 ⚠⚠","-"))))</f>
        <v>1/3 ⚠</v>
      </c>
    </row>
    <row r="15">
      <c r="A15" s="1" t="str">
        <v>Théo Esposito</v>
      </c>
      <c r="B15" s="1">
        <f>IF('Saisie 2026-02'!W13="N/A (absence longue)","M",'Saisie 2026-02'!V13)</f>
        <v>3</v>
      </c>
      <c r="C15" s="1">
        <f>IF('Saisie 2026-03'!Y13="N/A (absence longue)","M",'Saisie 2026-03'!X13)</f>
        <v>2</v>
      </c>
      <c r="D15" s="1">
        <f>IF('Saisie 2026-04'!Y13="N/A (absence longue)","M",'Saisie 2026-04'!X13)</f>
        <v>2</v>
      </c>
      <c r="E15" s="1">
        <f>COUNTIF(B15:D15,"&gt;=2")</f>
        <v>3</v>
      </c>
      <c r="F15" s="1" t="str">
        <f>IF(E15=3,"3/3 ✓",IF(E15=2,"2/3",IF(E15=1,"1/3 ⚠",IF(E15=0,"0/3 ⚠⚠","-"))))</f>
        <v>3/3 ✓</v>
      </c>
    </row>
    <row r="16">
      <c r="A16" s="1" t="str">
        <v>Vincent Girard</v>
      </c>
      <c r="B16" s="1">
        <f>IF('Saisie 2026-02'!W14="N/A (absence longue)","M",'Saisie 2026-02'!V14)</f>
        <v>3</v>
      </c>
      <c r="C16" s="1">
        <f>IF('Saisie 2026-03'!Y14="N/A (absence longue)","M",'Saisie 2026-03'!X14)</f>
        <v>4</v>
      </c>
      <c r="D16" s="1">
        <f>IF('Saisie 2026-04'!Y14="N/A (absence longue)","M",'Saisie 2026-04'!X14)</f>
        <v>2</v>
      </c>
      <c r="E16" s="1">
        <f>COUNTIF(B16:D16,"&gt;=2")</f>
        <v>3</v>
      </c>
      <c r="F16" s="1" t="str">
        <f>IF(E16=3,"3/3 ✓",IF(E16=2,"2/3",IF(E16=1,"1/3 ⚠",IF(E16=0,"0/3 ⚠⚠","-"))))</f>
        <v>3/3 ✓</v>
      </c>
    </row>
    <row r="17">
      <c r="A17" s="1" t="str">
        <v>Caroline Hamoud</v>
      </c>
      <c r="B17" s="1">
        <f>IF('Saisie 2026-02'!W15="N/A (absence longue)","M",'Saisie 2026-02'!V15)</f>
        <v>0</v>
      </c>
      <c r="C17" s="1">
        <f>IF('Saisie 2026-03'!Y15="N/A (absence longue)","M",'Saisie 2026-03'!X15)</f>
        <v>1</v>
      </c>
      <c r="D17" s="1">
        <f>IF('Saisie 2026-04'!Y15="N/A (absence longue)","M",'Saisie 2026-04'!X15)</f>
        <v>3</v>
      </c>
      <c r="E17" s="1">
        <f>COUNTIF(B17:D17,"&gt;=2")</f>
        <v>1</v>
      </c>
      <c r="F17" s="1" t="str">
        <f>IF(E17=3,"3/3 ✓",IF(E17=2,"2/3",IF(E17=1,"1/3 ⚠",IF(E17=0,"0/3 ⚠⚠","-"))))</f>
        <v>1/3 ⚠</v>
      </c>
    </row>
    <row r="18">
      <c r="A18" s="1" t="str">
        <v>Félix Hantraye</v>
      </c>
      <c r="B18" s="1">
        <f>IF('Saisie 2026-02'!W16="N/A (absence longue)","M",'Saisie 2026-02'!V16)</f>
        <v>3</v>
      </c>
      <c r="C18" s="1">
        <f>IF('Saisie 2026-03'!Y16="N/A (absence longue)","M",'Saisie 2026-03'!X16)</f>
        <v>1</v>
      </c>
      <c r="D18" s="1">
        <f>IF('Saisie 2026-04'!Y16="N/A (absence longue)","M",'Saisie 2026-04'!X16)</f>
        <v>2</v>
      </c>
      <c r="E18" s="1">
        <f>COUNTIF(B18:D18,"&gt;=2")</f>
        <v>2</v>
      </c>
      <c r="F18" s="1" t="str">
        <f>IF(E18=3,"3/3 ✓",IF(E18=2,"2/3",IF(E18=1,"1/3 ⚠",IF(E18=0,"0/3 ⚠⚠","-"))))</f>
        <v>2/3</v>
      </c>
    </row>
    <row r="19">
      <c r="A19" s="1" t="str">
        <v>Simon Kerhyuel</v>
      </c>
      <c r="B19" s="1">
        <f>IF('Saisie 2026-02'!W17="N/A (absence longue)","M",'Saisie 2026-02'!V17)</f>
        <v>1</v>
      </c>
      <c r="C19" s="1">
        <f>IF('Saisie 2026-03'!Y17="N/A (absence longue)","M",'Saisie 2026-03'!X17)</f>
        <v>1</v>
      </c>
      <c r="D19" s="1">
        <f>IF('Saisie 2026-04'!Y17="N/A (absence longue)","M",'Saisie 2026-04'!X17)</f>
        <v>2</v>
      </c>
      <c r="E19" s="1">
        <f>COUNTIF(B19:D19,"&gt;=2")</f>
        <v>1</v>
      </c>
      <c r="F19" s="1" t="str">
        <f>IF(E19=3,"3/3 ✓",IF(E19=2,"2/3",IF(E19=1,"1/3 ⚠",IF(E19=0,"0/3 ⚠⚠","-"))))</f>
        <v>1/3 ⚠</v>
      </c>
    </row>
    <row r="20">
      <c r="A20" s="1" t="str">
        <v>Matthieu Le Corre</v>
      </c>
      <c r="B20" s="1">
        <f>IF('Saisie 2026-02'!W18="N/A (absence longue)","M",'Saisie 2026-02'!V18)</f>
        <v>8</v>
      </c>
      <c r="C20" s="1">
        <f>IF('Saisie 2026-03'!Y18="N/A (absence longue)","M",'Saisie 2026-03'!X18)</f>
        <v>7</v>
      </c>
      <c r="D20" s="1">
        <f>IF('Saisie 2026-04'!Y18="N/A (absence longue)","M",'Saisie 2026-04'!X18)</f>
        <v>4</v>
      </c>
      <c r="E20" s="1">
        <f>COUNTIF(B20:D20,"&gt;=2")</f>
        <v>3</v>
      </c>
      <c r="F20" s="1" t="str">
        <f>IF(E20=3,"3/3 ✓",IF(E20=2,"2/3",IF(E20=1,"1/3 ⚠",IF(E20=0,"0/3 ⚠⚠","-"))))</f>
        <v>3/3 ✓</v>
      </c>
    </row>
    <row r="21">
      <c r="A21" s="1" t="str">
        <v>Florian Le Fur</v>
      </c>
      <c r="B21" s="1">
        <f>IF('Saisie 2026-02'!W19="N/A (absence longue)","M",'Saisie 2026-02'!V19)</f>
        <v>2</v>
      </c>
      <c r="C21" s="1">
        <f>IF('Saisie 2026-03'!Y19="N/A (absence longue)","M",'Saisie 2026-03'!X19)</f>
        <v>5</v>
      </c>
      <c r="D21" s="1">
        <f>IF('Saisie 2026-04'!Y19="N/A (absence longue)","M",'Saisie 2026-04'!X19)</f>
        <v>3</v>
      </c>
      <c r="E21" s="1">
        <f>COUNTIF(B21:D21,"&gt;=2")</f>
        <v>3</v>
      </c>
      <c r="F21" s="1" t="str">
        <f>IF(E21=3,"3/3 ✓",IF(E21=2,"2/3",IF(E21=1,"1/3 ⚠",IF(E21=0,"0/3 ⚠⚠","-"))))</f>
        <v>3/3 ✓</v>
      </c>
    </row>
    <row r="22">
      <c r="A22" s="1" t="str">
        <v>François L'Hostis</v>
      </c>
      <c r="B22" s="1">
        <f>IF('Saisie 2026-02'!W20="N/A (absence longue)","M",'Saisie 2026-02'!V20)</f>
        <v>2</v>
      </c>
      <c r="C22" s="1">
        <f>IF('Saisie 2026-03'!Y20="N/A (absence longue)","M",'Saisie 2026-03'!X20)</f>
        <v>4</v>
      </c>
      <c r="D22" s="1">
        <f>IF('Saisie 2026-04'!Y20="N/A (absence longue)","M",'Saisie 2026-04'!X20)</f>
        <v>3</v>
      </c>
      <c r="E22" s="1">
        <f>COUNTIF(B22:D22,"&gt;=2")</f>
        <v>3</v>
      </c>
      <c r="F22" s="1" t="str">
        <f>IF(E22=3,"3/3 ✓",IF(E22=2,"2/3",IF(E22=1,"1/3 ⚠",IF(E22=0,"0/3 ⚠⚠","-"))))</f>
        <v>3/3 ✓</v>
      </c>
    </row>
    <row r="23">
      <c r="A23" s="1" t="str">
        <v>Barnabé Melaine</v>
      </c>
      <c r="B23" s="1">
        <f>IF('Saisie 2026-02'!W21="N/A (absence longue)","M",'Saisie 2026-02'!V21)</f>
        <v>2</v>
      </c>
      <c r="C23" s="1">
        <f>IF('Saisie 2026-03'!Y21="N/A (absence longue)","M",'Saisie 2026-03'!X21)</f>
        <v>4</v>
      </c>
      <c r="D23" s="1">
        <f>IF('Saisie 2026-04'!Y21="N/A (absence longue)","M",'Saisie 2026-04'!X21)</f>
        <v>3</v>
      </c>
      <c r="E23" s="1">
        <f>COUNTIF(B23:D23,"&gt;=2")</f>
        <v>3</v>
      </c>
      <c r="F23" s="1" t="str">
        <f>IF(E23=3,"3/3 ✓",IF(E23=2,"2/3",IF(E23=1,"1/3 ⚠",IF(E23=0,"0/3 ⚠⚠","-"))))</f>
        <v>3/3 ✓</v>
      </c>
    </row>
    <row r="24">
      <c r="A24" s="1" t="str">
        <v>Bertrand Mignot</v>
      </c>
      <c r="B24" s="1">
        <f>IF('Saisie 2026-02'!W22="N/A (absence longue)","M",'Saisie 2026-02'!V22)</f>
        <v>2</v>
      </c>
      <c r="C24" s="1">
        <f>IF('Saisie 2026-03'!Y22="N/A (absence longue)","M",'Saisie 2026-03'!X22)</f>
        <v>1</v>
      </c>
      <c r="D24" s="1">
        <f>IF('Saisie 2026-04'!Y22="N/A (absence longue)","M",'Saisie 2026-04'!X22)</f>
        <v>2</v>
      </c>
      <c r="E24" s="1">
        <f>COUNTIF(B24:D24,"&gt;=2")</f>
        <v>2</v>
      </c>
      <c r="F24" s="1" t="str">
        <f>IF(E24=3,"3/3 ✓",IF(E24=2,"2/3",IF(E24=1,"1/3 ⚠",IF(E24=0,"0/3 ⚠⚠","-"))))</f>
        <v>2/3</v>
      </c>
    </row>
    <row r="25">
      <c r="A25" s="1" t="str">
        <v>Anthony Mocaer</v>
      </c>
      <c r="B25" s="1">
        <f>IF('Saisie 2026-02'!W23="N/A (absence longue)","M",'Saisie 2026-02'!V23)</f>
        <v>1</v>
      </c>
      <c r="C25" s="1">
        <f>IF('Saisie 2026-03'!Y23="N/A (absence longue)","M",'Saisie 2026-03'!X23)</f>
        <v>1</v>
      </c>
      <c r="D25" s="1">
        <f>IF('Saisie 2026-04'!Y23="N/A (absence longue)","M",'Saisie 2026-04'!X23)</f>
        <v>2</v>
      </c>
      <c r="E25" s="1">
        <f>COUNTIF(B25:D25,"&gt;=2")</f>
        <v>1</v>
      </c>
      <c r="F25" s="1" t="str">
        <f>IF(E25=3,"3/3 ✓",IF(E25=2,"2/3",IF(E25=1,"1/3 ⚠",IF(E25=0,"0/3 ⚠⚠","-"))))</f>
        <v>1/3 ⚠</v>
      </c>
    </row>
    <row r="26">
      <c r="A26" s="1" t="str">
        <v>Esther Mussot</v>
      </c>
      <c r="B26" s="1">
        <f>IF('Saisie 2026-02'!W24="N/A (absence longue)","M",'Saisie 2026-02'!V24)</f>
        <v>0</v>
      </c>
      <c r="C26" s="1">
        <f>IF('Saisie 2026-03'!Y24="N/A (absence longue)","M",'Saisie 2026-03'!X24)</f>
        <v>4</v>
      </c>
      <c r="D26" s="1">
        <f>IF('Saisie 2026-04'!Y24="N/A (absence longue)","M",'Saisie 2026-04'!X24)</f>
        <v>2</v>
      </c>
      <c r="E26" s="1">
        <f>COUNTIF(B26:D26,"&gt;=2")</f>
        <v>2</v>
      </c>
      <c r="F26" s="1" t="str">
        <f>IF(E26=3,"3/3 ✓",IF(E26=2,"2/3",IF(E26=1,"1/3 ⚠",IF(E26=0,"0/3 ⚠⚠","-"))))</f>
        <v>2/3</v>
      </c>
    </row>
    <row r="27">
      <c r="A27" s="1" t="str">
        <v>Florian Roudier</v>
      </c>
      <c r="B27" s="1">
        <f>IF('Saisie 2026-02'!W25="N/A (absence longue)","M",'Saisie 2026-02'!V25)</f>
        <v>0</v>
      </c>
      <c r="C27" s="1">
        <f>IF('Saisie 2026-03'!Y25="N/A (absence longue)","M",'Saisie 2026-03'!X25)</f>
        <v>1</v>
      </c>
      <c r="D27" s="1">
        <f>IF('Saisie 2026-04'!Y25="N/A (absence longue)","M",'Saisie 2026-04'!X25)</f>
        <v>2</v>
      </c>
      <c r="E27" s="1">
        <f>COUNTIF(B27:D27,"&gt;=2")</f>
        <v>1</v>
      </c>
      <c r="F27" s="1" t="str">
        <f>IF(E27=3,"3/3 ✓",IF(E27=2,"2/3",IF(E27=1,"1/3 ⚠",IF(E27=0,"0/3 ⚠⚠","-"))))</f>
        <v>1/3 ⚠</v>
      </c>
    </row>
    <row r="28">
      <c r="A28" s="1" t="str">
        <v>Nacim Souni</v>
      </c>
      <c r="B28" s="1">
        <f>IF('Saisie 2026-02'!W26="N/A (absence longue)","M",'Saisie 2026-02'!V26)</f>
        <v>11</v>
      </c>
      <c r="C28" s="1">
        <f>IF('Saisie 2026-03'!Y26="N/A (absence longue)","M",'Saisie 2026-03'!X26)</f>
        <v>0</v>
      </c>
      <c r="D28" s="1">
        <f>IF('Saisie 2026-04'!Y26="N/A (absence longue)","M",'Saisie 2026-04'!X26)</f>
        <v>1</v>
      </c>
      <c r="E28" s="1">
        <f>COUNTIF(B28:D28,"&gt;=2")</f>
        <v>1</v>
      </c>
      <c r="F28" s="1" t="str">
        <f>IF(E28=3,"3/3 ✓",IF(E28=2,"2/3",IF(E28=1,"1/3 ⚠",IF(E28=0,"0/3 ⚠⚠","-"))))</f>
        <v>1/3 ⚠</v>
      </c>
    </row>
    <row r="29">
      <c r="A29" s="1" t="str">
        <v>Sandra Tang</v>
      </c>
      <c r="B29" s="1">
        <f>IF('Saisie 2026-02'!W27="N/A (absence longue)","M",'Saisie 2026-02'!V27)</f>
        <v>1</v>
      </c>
      <c r="C29" s="1">
        <f>IF('Saisie 2026-03'!Y27="N/A (absence longue)","M",'Saisie 2026-03'!X27)</f>
        <v>2</v>
      </c>
      <c r="D29" s="1">
        <f>IF('Saisie 2026-04'!Y27="N/A (absence longue)","M",'Saisie 2026-04'!X27)</f>
        <v>1</v>
      </c>
      <c r="E29" s="1">
        <f>COUNTIF(B29:D29,"&gt;=2")</f>
        <v>1</v>
      </c>
      <c r="F29" s="1" t="str">
        <f>IF(E29=3,"3/3 ✓",IF(E29=2,"2/3",IF(E29=1,"1/3 ⚠",IF(E29=0,"0/3 ⚠⚠","-"))))</f>
        <v>1/3 ⚠</v>
      </c>
    </row>
    <row r="30">
      <c r="A30" s="1" t="str">
        <v>Mathieu Ultsch</v>
      </c>
      <c r="B30" s="1">
        <f>IF('Saisie 2026-02'!W28="N/A (absence longue)","M",'Saisie 2026-02'!V28)</f>
        <v>5</v>
      </c>
      <c r="C30" s="1">
        <f>IF('Saisie 2026-03'!Y28="N/A (absence longue)","M",'Saisie 2026-03'!X28)</f>
        <v>4</v>
      </c>
      <c r="D30" s="1">
        <f>IF('Saisie 2026-04'!Y28="N/A (absence longue)","M",'Saisie 2026-04'!X28)</f>
        <v>3</v>
      </c>
      <c r="E30" s="1">
        <f>COUNTIF(B30:D30,"&gt;=2")</f>
        <v>3</v>
      </c>
      <c r="F30" s="1" t="str">
        <f>IF(E30=3,"3/3 ✓",IF(E30=2,"2/3",IF(E30=1,"1/3 ⚠",IF(E30=0,"0/3 ⚠⚠","-"))))</f>
        <v>3/3 ✓</v>
      </c>
    </row>
    <row r="31">
      <c r="A31" s="1" t="str">
        <v>Amandine Ziegler</v>
      </c>
      <c r="B31" s="1">
        <f>IF('Saisie 2026-02'!W29="N/A (absence longue)","M",'Saisie 2026-02'!V29)</f>
        <v>4</v>
      </c>
      <c r="C31" s="1">
        <f>IF('Saisie 2026-03'!Y29="N/A (absence longue)","M",'Saisie 2026-03'!X29)</f>
        <v>3</v>
      </c>
      <c r="D31" s="1">
        <f>IF('Saisie 2026-04'!Y29="N/A (absence longue)","M",'Saisie 2026-04'!X29)</f>
        <v>4</v>
      </c>
      <c r="E31" s="1">
        <f>COUNTIF(B31:D31,"&gt;=2")</f>
        <v>3</v>
      </c>
      <c r="F31" s="1" t="str">
        <f>IF(E31=3,"3/3 ✓",IF(E31=2,"2/3",IF(E31=1,"1/3 ⚠",IF(E31=0,"0/3 ⚠⚠","-"))))</f>
        <v>3/3 ✓</v>
      </c>
    </row>
  </sheetData>
  <mergeCells count="2">
    <mergeCell ref="A1:F1"/>
    <mergeCell ref="A3:F3"/>
  </mergeCells>
  <pageMargins left="0.75" right="0.75" top="1" bottom="1" header="0.511811023622047" footer="0.511811023622047"/>
  <ignoredErrors>
    <ignoredError numberStoredAsText="1" sqref="A1:F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Convention</vt:lpstr>
      <vt:lpstr>Référentiel</vt:lpstr>
      <vt:lpstr>Événements</vt:lpstr>
      <vt:lpstr>Saisie 2026-02</vt:lpstr>
      <vt:lpstr>Saisie 2026-03</vt:lpstr>
      <vt:lpstr>Saisie 2026-04</vt:lpstr>
      <vt:lpstr>Log</vt:lpstr>
      <vt:lpstr>Synthèse mensuelle</vt:lpstr>
      <vt:lpstr>Synthèse consultant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2026-04-27T09:55:04Z</dcterms:created>
  <dcterms:modified xsi:type="dcterms:W3CDTF">2026-04-27T09:59:49Z</dcterms:modified>
  <cp:revision>0</cp:revision>
  <dc:creator>openpyxl</dc:creator>
  <dc:language>en-US</dc:language>
</cp:coreProperties>
</file>