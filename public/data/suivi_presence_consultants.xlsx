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codeName="ThisWorkbook"/>
  <mc:AlternateContent xmlns:mc="http://schemas.openxmlformats.org/markup-compatibility/2006">
    <mc:Choice Requires="x15">
      <x15ac:absPath xmlns:x15ac="http://schemas.microsoft.com/office/spreadsheetml/2010/11/ac" url="/Users/jeremiekieffer/Projets/ikxo-presence-dashboard/public/data/"/>
    </mc:Choice>
  </mc:AlternateContent>
  <xr:revisionPtr revIDLastSave="0" documentId="13_ncr:1_{542224DC-8F02-3642-9CB2-6257078343E3}" xr6:coauthVersionLast="47" xr6:coauthVersionMax="47" xr10:uidLastSave="{00000000-0000-0000-0000-000000000000}"/>
  <bookViews>
    <workbookView xWindow="0" yWindow="660" windowWidth="29400" windowHeight="18460" activeTab="5" xr2:uid="{00000000-000D-0000-FFFF-FFFF00000000}"/>
  </bookViews>
  <sheets>
    <sheet name="Convention" sheetId="1" r:id="rId1"/>
    <sheet name="Référentiel" sheetId="2" r:id="rId2"/>
    <sheet name="Événements" sheetId="3" r:id="rId3"/>
    <sheet name="Saisie 2026-02" sheetId="4" r:id="rId4"/>
    <sheet name="Saisie 2026-03" sheetId="5" r:id="rId5"/>
    <sheet name="Saisie 2026-04" sheetId="6" r:id="rId6"/>
    <sheet name="Log" sheetId="7" r:id="rId7"/>
    <sheet name="Synthèse mensuelle" sheetId="8" r:id="rId8"/>
    <sheet name="Synthèse consultant" sheetId="9" r:id="rId9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9" l="1"/>
  <c r="X29" i="6"/>
  <c r="Y29" i="6" s="1"/>
  <c r="D31" i="9" s="1"/>
  <c r="Y28" i="6"/>
  <c r="D30" i="9" s="1"/>
  <c r="X28" i="6"/>
  <c r="X27" i="6"/>
  <c r="Y27" i="6" s="1"/>
  <c r="D29" i="9" s="1"/>
  <c r="X26" i="6"/>
  <c r="Y26" i="6" s="1"/>
  <c r="D28" i="9" s="1"/>
  <c r="X25" i="6"/>
  <c r="Y25" i="6" s="1"/>
  <c r="D27" i="9" s="1"/>
  <c r="Y24" i="6"/>
  <c r="D26" i="9" s="1"/>
  <c r="X24" i="6"/>
  <c r="X23" i="6"/>
  <c r="Y23" i="6" s="1"/>
  <c r="D25" i="9" s="1"/>
  <c r="X22" i="6"/>
  <c r="Y22" i="6" s="1"/>
  <c r="D24" i="9" s="1"/>
  <c r="X21" i="6"/>
  <c r="Y21" i="6" s="1"/>
  <c r="D23" i="9" s="1"/>
  <c r="Y20" i="6"/>
  <c r="D22" i="9" s="1"/>
  <c r="X20" i="6"/>
  <c r="X19" i="6"/>
  <c r="Y19" i="6" s="1"/>
  <c r="D21" i="9" s="1"/>
  <c r="X18" i="6"/>
  <c r="Y18" i="6" s="1"/>
  <c r="D20" i="9" s="1"/>
  <c r="X17" i="6"/>
  <c r="Y17" i="6" s="1"/>
  <c r="D19" i="9" s="1"/>
  <c r="Y16" i="6"/>
  <c r="D18" i="9" s="1"/>
  <c r="X16" i="6"/>
  <c r="X15" i="6"/>
  <c r="Y15" i="6" s="1"/>
  <c r="D17" i="9" s="1"/>
  <c r="X14" i="6"/>
  <c r="Y14" i="6" s="1"/>
  <c r="D16" i="9" s="1"/>
  <c r="X13" i="6"/>
  <c r="Y13" i="6" s="1"/>
  <c r="D15" i="9" s="1"/>
  <c r="X12" i="6"/>
  <c r="Y12" i="6" s="1"/>
  <c r="D14" i="9" s="1"/>
  <c r="X11" i="6"/>
  <c r="Y11" i="6" s="1"/>
  <c r="D13" i="9" s="1"/>
  <c r="X10" i="6"/>
  <c r="Y10" i="6" s="1"/>
  <c r="D12" i="9" s="1"/>
  <c r="X9" i="6"/>
  <c r="Y9" i="6" s="1"/>
  <c r="D11" i="9" s="1"/>
  <c r="Y8" i="6"/>
  <c r="D10" i="9" s="1"/>
  <c r="X8" i="6"/>
  <c r="X7" i="6"/>
  <c r="Y7" i="6" s="1"/>
  <c r="D9" i="9" s="1"/>
  <c r="X6" i="6"/>
  <c r="Y6" i="6" s="1"/>
  <c r="D8" i="9" s="1"/>
  <c r="X5" i="6"/>
  <c r="Y5" i="6" s="1"/>
  <c r="D7" i="9" s="1"/>
  <c r="Y4" i="6"/>
  <c r="X4" i="6"/>
  <c r="X29" i="5"/>
  <c r="Y29" i="5" s="1"/>
  <c r="C31" i="9" s="1"/>
  <c r="E31" i="9" s="1"/>
  <c r="F31" i="9" s="1"/>
  <c r="X28" i="5"/>
  <c r="Y28" i="5" s="1"/>
  <c r="C30" i="9" s="1"/>
  <c r="X27" i="5"/>
  <c r="Y27" i="5" s="1"/>
  <c r="C29" i="9" s="1"/>
  <c r="Y26" i="5"/>
  <c r="C28" i="9" s="1"/>
  <c r="X26" i="5"/>
  <c r="X25" i="5"/>
  <c r="Y25" i="5" s="1"/>
  <c r="C27" i="9" s="1"/>
  <c r="X24" i="5"/>
  <c r="Y24" i="5" s="1"/>
  <c r="C26" i="9" s="1"/>
  <c r="X23" i="5"/>
  <c r="Y23" i="5" s="1"/>
  <c r="C25" i="9" s="1"/>
  <c r="Y22" i="5"/>
  <c r="C24" i="9" s="1"/>
  <c r="X22" i="5"/>
  <c r="X21" i="5"/>
  <c r="Y21" i="5" s="1"/>
  <c r="C23" i="9" s="1"/>
  <c r="X20" i="5"/>
  <c r="Y20" i="5" s="1"/>
  <c r="C22" i="9" s="1"/>
  <c r="X19" i="5"/>
  <c r="Y19" i="5" s="1"/>
  <c r="C21" i="9" s="1"/>
  <c r="Y18" i="5"/>
  <c r="C20" i="9" s="1"/>
  <c r="X18" i="5"/>
  <c r="X17" i="5"/>
  <c r="Y17" i="5" s="1"/>
  <c r="C19" i="9" s="1"/>
  <c r="X16" i="5"/>
  <c r="Y16" i="5" s="1"/>
  <c r="C18" i="9" s="1"/>
  <c r="X15" i="5"/>
  <c r="Y15" i="5" s="1"/>
  <c r="C17" i="9" s="1"/>
  <c r="Y14" i="5"/>
  <c r="C16" i="9" s="1"/>
  <c r="X14" i="5"/>
  <c r="X13" i="5"/>
  <c r="Y13" i="5" s="1"/>
  <c r="C15" i="9" s="1"/>
  <c r="X12" i="5"/>
  <c r="Y12" i="5" s="1"/>
  <c r="C14" i="9" s="1"/>
  <c r="X11" i="5"/>
  <c r="Y11" i="5" s="1"/>
  <c r="C13" i="9" s="1"/>
  <c r="Y10" i="5"/>
  <c r="C12" i="9" s="1"/>
  <c r="X10" i="5"/>
  <c r="X9" i="5"/>
  <c r="Y9" i="5" s="1"/>
  <c r="C11" i="9" s="1"/>
  <c r="X8" i="5"/>
  <c r="Y8" i="5" s="1"/>
  <c r="C10" i="9" s="1"/>
  <c r="X7" i="5"/>
  <c r="Y7" i="5" s="1"/>
  <c r="C9" i="9" s="1"/>
  <c r="Y6" i="5"/>
  <c r="C8" i="9" s="1"/>
  <c r="X6" i="5"/>
  <c r="Y5" i="5"/>
  <c r="C7" i="9" s="1"/>
  <c r="X5" i="5"/>
  <c r="X4" i="5"/>
  <c r="F7" i="8" s="1"/>
  <c r="W28" i="4"/>
  <c r="B30" i="9" s="1"/>
  <c r="E30" i="9" s="1"/>
  <c r="F30" i="9" s="1"/>
  <c r="V28" i="4"/>
  <c r="W27" i="4"/>
  <c r="B29" i="9" s="1"/>
  <c r="V27" i="4"/>
  <c r="W26" i="4"/>
  <c r="B28" i="9" s="1"/>
  <c r="V26" i="4"/>
  <c r="W25" i="4" s="1"/>
  <c r="B27" i="9" s="1"/>
  <c r="E27" i="9" s="1"/>
  <c r="F27" i="9" s="1"/>
  <c r="V25" i="4"/>
  <c r="W24" i="4"/>
  <c r="B26" i="9" s="1"/>
  <c r="V24" i="4"/>
  <c r="W23" i="4"/>
  <c r="B25" i="9" s="1"/>
  <c r="E25" i="9" s="1"/>
  <c r="F25" i="9" s="1"/>
  <c r="V23" i="4"/>
  <c r="W22" i="4"/>
  <c r="B24" i="9" s="1"/>
  <c r="E24" i="9" s="1"/>
  <c r="F24" i="9" s="1"/>
  <c r="V22" i="4"/>
  <c r="V21" i="4"/>
  <c r="W21" i="4" s="1"/>
  <c r="B23" i="9" s="1"/>
  <c r="W20" i="4"/>
  <c r="B22" i="9" s="1"/>
  <c r="V20" i="4"/>
  <c r="W19" i="4"/>
  <c r="B21" i="9" s="1"/>
  <c r="V19" i="4"/>
  <c r="W18" i="4"/>
  <c r="B20" i="9" s="1"/>
  <c r="E20" i="9" s="1"/>
  <c r="F20" i="9" s="1"/>
  <c r="V18" i="4"/>
  <c r="V17" i="4"/>
  <c r="W17" i="4" s="1"/>
  <c r="B19" i="9" s="1"/>
  <c r="E19" i="9" s="1"/>
  <c r="F19" i="9" s="1"/>
  <c r="W16" i="4"/>
  <c r="B18" i="9" s="1"/>
  <c r="E18" i="9" s="1"/>
  <c r="F18" i="9" s="1"/>
  <c r="V16" i="4"/>
  <c r="W15" i="4"/>
  <c r="B17" i="9" s="1"/>
  <c r="E17" i="9" s="1"/>
  <c r="F17" i="9" s="1"/>
  <c r="V15" i="4"/>
  <c r="W14" i="4"/>
  <c r="B16" i="9" s="1"/>
  <c r="E16" i="9" s="1"/>
  <c r="F16" i="9" s="1"/>
  <c r="V14" i="4"/>
  <c r="V13" i="4"/>
  <c r="W13" i="4" s="1"/>
  <c r="B15" i="9" s="1"/>
  <c r="W12" i="4"/>
  <c r="B14" i="9" s="1"/>
  <c r="V12" i="4"/>
  <c r="W11" i="4"/>
  <c r="B13" i="9" s="1"/>
  <c r="V11" i="4"/>
  <c r="W10" i="4"/>
  <c r="B12" i="9" s="1"/>
  <c r="V10" i="4"/>
  <c r="V9" i="4"/>
  <c r="W9" i="4" s="1"/>
  <c r="B11" i="9" s="1"/>
  <c r="E11" i="9" s="1"/>
  <c r="F11" i="9" s="1"/>
  <c r="W8" i="4"/>
  <c r="B10" i="9" s="1"/>
  <c r="E10" i="9" s="1"/>
  <c r="F10" i="9" s="1"/>
  <c r="V8" i="4"/>
  <c r="W7" i="4"/>
  <c r="B9" i="9" s="1"/>
  <c r="E9" i="9" s="1"/>
  <c r="F9" i="9" s="1"/>
  <c r="V7" i="4"/>
  <c r="W6" i="4"/>
  <c r="B8" i="9" s="1"/>
  <c r="V6" i="4"/>
  <c r="W5" i="4"/>
  <c r="B7" i="9" s="1"/>
  <c r="V5" i="4"/>
  <c r="W4" i="4"/>
  <c r="B6" i="9" s="1"/>
  <c r="V4" i="4"/>
  <c r="F6" i="8" s="1"/>
  <c r="E14" i="9" l="1"/>
  <c r="F14" i="9" s="1"/>
  <c r="E28" i="9"/>
  <c r="F28" i="9" s="1"/>
  <c r="E15" i="9"/>
  <c r="F15" i="9" s="1"/>
  <c r="E7" i="9"/>
  <c r="F7" i="9" s="1"/>
  <c r="E12" i="9"/>
  <c r="F12" i="9" s="1"/>
  <c r="E21" i="9"/>
  <c r="F21" i="9" s="1"/>
  <c r="E8" i="9"/>
  <c r="F8" i="9" s="1"/>
  <c r="E26" i="9"/>
  <c r="F26" i="9" s="1"/>
  <c r="E23" i="9"/>
  <c r="F23" i="9" s="1"/>
  <c r="E29" i="9"/>
  <c r="F29" i="9" s="1"/>
  <c r="E13" i="9"/>
  <c r="F13" i="9" s="1"/>
  <c r="E22" i="9"/>
  <c r="F22" i="9" s="1"/>
  <c r="E8" i="8"/>
  <c r="D8" i="8"/>
  <c r="C7" i="8"/>
  <c r="F8" i="8"/>
  <c r="F10" i="8" s="1"/>
  <c r="D6" i="9"/>
  <c r="B6" i="8"/>
  <c r="E7" i="8"/>
  <c r="Y4" i="5"/>
  <c r="C6" i="8"/>
  <c r="D6" i="8"/>
  <c r="B8" i="8"/>
  <c r="E6" i="8"/>
  <c r="C8" i="8"/>
  <c r="C10" i="8" l="1"/>
  <c r="C6" i="9"/>
  <c r="E6" i="9" s="1"/>
  <c r="F6" i="9" s="1"/>
  <c r="B7" i="8"/>
  <c r="B10" i="8" s="1"/>
  <c r="D7" i="8"/>
  <c r="D10" i="8" s="1"/>
  <c r="E10" i="8"/>
</calcChain>
</file>

<file path=xl/sharedStrings.xml><?xml version="1.0" encoding="utf-8"?>
<sst xmlns="http://schemas.openxmlformats.org/spreadsheetml/2006/main" count="317" uniqueCount="102">
  <si>
    <t>Convention de saisie — Suivi de présence consultants</t>
  </si>
  <si>
    <t>Ce fichier sert à suivre la présence des consultants au bureau et à mesurer notre OKR (objectif : 2 jours/mois minimum par consultant).</t>
  </si>
  <si>
    <t>Symboles à utiliser dans les onglets de saisie mensuelle</t>
  </si>
  <si>
    <t>Symbole</t>
  </si>
  <si>
    <t>Signification</t>
  </si>
  <si>
    <t>Impact sur le calcul</t>
  </si>
  <si>
    <t>1</t>
  </si>
  <si>
    <t>Présence au bureau</t>
  </si>
  <si>
    <t>Compte dans le total de présences du consultant</t>
  </si>
  <si>
    <t>IC</t>
  </si>
  <si>
    <t>Présence pendant une période d'intercontrat</t>
  </si>
  <si>
    <t>Compte comme une présence dans le total OKR. Permet de visualiser la période d'intercontrat.</t>
  </si>
  <si>
    <t>(vide)</t>
  </si>
  <si>
    <t>Absence par défaut (pas venu, en mission, télétravail, congés courts)</t>
  </si>
  <si>
    <t>Compte comme "non présent" — sous l'objectif si pas assez de "1"</t>
  </si>
  <si>
    <t>M</t>
  </si>
  <si>
    <t>Absence longue : congé maternité/paternité, parental, maladie longue, sabbatique</t>
  </si>
  <si>
    <t>Le consultant est exclu du calcul d'atteinte OKR pour ce mois</t>
  </si>
  <si>
    <t>X</t>
  </si>
  <si>
    <t>Date d'un événement (ligne XO Day, XO Product Day, Séminaire)</t>
  </si>
  <si>
    <t>Permet d'overlay l'événement sur les graphiques</t>
  </si>
  <si>
    <t>Comment utiliser le fichier</t>
  </si>
  <si>
    <t>1. Onglet "Référentiel" : ajoute/retire les consultants au fil des arrivées et départs.</t>
  </si>
  <si>
    <t>2. Onglet "Événements" : déclare en amont les XO Days, XO Product Days et séminaires prévus.</t>
  </si>
  <si>
    <t>3. Onglets "Saisie YYYY-MM" : saisie quotidienne des présences (1 dans la cellule). Crée un nouvel onglet par mois.</t>
  </si>
  <si>
    <t>4. Onglet "Log" : se met à jour automatiquement, pas de saisie manuelle. C'est la source pour le dashboard.</t>
  </si>
  <si>
    <t>5. Onglets "Synthèse" : KPI calculés automatiquement.</t>
  </si>
  <si>
    <t>Note importante</t>
  </si>
  <si>
    <t>Ce fichier est un fichier source. Les données calculées dans les onglets Log et Synthèse alimentent un dashboard externe (web). Ne pas modifier les formules de ces onglets.</t>
  </si>
  <si>
    <t>Référentiel des consultants</t>
  </si>
  <si>
    <t>Consultant</t>
  </si>
  <si>
    <t>Date d'entrée</t>
  </si>
  <si>
    <t>Date de sortie</t>
  </si>
  <si>
    <t>Alexandre Dieulesaint</t>
  </si>
  <si>
    <t>Amandine Ziegler</t>
  </si>
  <si>
    <t>Anthony Mocaer</t>
  </si>
  <si>
    <t>Anthéa Delpuech</t>
  </si>
  <si>
    <t>Axel Charletoux</t>
  </si>
  <si>
    <t>Barnabé Melaine</t>
  </si>
  <si>
    <t>Bertrand Mignot</t>
  </si>
  <si>
    <t>Calixte Bailly</t>
  </si>
  <si>
    <t>Caroline Hamoud</t>
  </si>
  <si>
    <t>Esther Mussot</t>
  </si>
  <si>
    <t>Eva Andrzejewski</t>
  </si>
  <si>
    <t>Florian Le Fur</t>
  </si>
  <si>
    <t>Florian Roudier</t>
  </si>
  <si>
    <t>François L'Hostis</t>
  </si>
  <si>
    <t>Félix Hantraye</t>
  </si>
  <si>
    <t>Geoffroy Debellabre</t>
  </si>
  <si>
    <t>Julien Calvao</t>
  </si>
  <si>
    <t>Laureline Berthou</t>
  </si>
  <si>
    <t>Mathieu Ultsch</t>
  </si>
  <si>
    <t>Matthieu Le Corre</t>
  </si>
  <si>
    <t>Nacim Souni</t>
  </si>
  <si>
    <t>Sandra Tang</t>
  </si>
  <si>
    <t>Simon Kerhyuel</t>
  </si>
  <si>
    <t>Théo Esposito</t>
  </si>
  <si>
    <t>Vincent Girard</t>
  </si>
  <si>
    <t>Zelal Aslan</t>
  </si>
  <si>
    <t>Calendrier des événements collectifs</t>
  </si>
  <si>
    <t>Date</t>
  </si>
  <si>
    <t>Type</t>
  </si>
  <si>
    <t>Libellé / Détail</t>
  </si>
  <si>
    <t>XO Product Day</t>
  </si>
  <si>
    <t>XO Product Day février</t>
  </si>
  <si>
    <t>XO Day</t>
  </si>
  <si>
    <t>XO Day mars</t>
  </si>
  <si>
    <t>XO Day avril</t>
  </si>
  <si>
    <t>Saisie présence — Février 2026</t>
  </si>
  <si>
    <t>Total</t>
  </si>
  <si>
    <t>Statut OKR</t>
  </si>
  <si>
    <t>— Événements —</t>
  </si>
  <si>
    <t>Séminaire</t>
  </si>
  <si>
    <t>Saisie présence — Mars 2026</t>
  </si>
  <si>
    <t>Saisie présence — Avril 2026</t>
  </si>
  <si>
    <t>Log — format long (alimentation automatique)</t>
  </si>
  <si>
    <t>Ce tableau consolide automatiquement les données de tous les onglets de saisie au format long (1 ligne = 1 jour × 1 consultant × 1 statut). C'est ce tableau qui est exporté en CSV pour alimenter le dashboard.</t>
  </si>
  <si>
    <t>Important : ne pas saisir manuellement dans cet onglet. Toute saisie se fait dans les onglets "Saisie YYYY-MM".</t>
  </si>
  <si>
    <t>Année-Mois</t>
  </si>
  <si>
    <t>Jour semaine</t>
  </si>
  <si>
    <t>Statut</t>
  </si>
  <si>
    <t>Source</t>
  </si>
  <si>
    <t>Synthèse mensuelle — KPI agrégés</t>
  </si>
  <si>
    <t>Ces KPI sont calculés automatiquement depuis les onglets de saisie mensuelle.</t>
  </si>
  <si>
    <t>Mois</t>
  </si>
  <si>
    <t>Nb consultants</t>
  </si>
  <si>
    <t>Présences totales</t>
  </si>
  <si>
    <t>Atteinte OKR (%)</t>
  </si>
  <si>
    <t>Moyenne (j)</t>
  </si>
  <si>
    <t>Venus ≥1x</t>
  </si>
  <si>
    <t>Pic du mois</t>
  </si>
  <si>
    <t>Février 2026</t>
  </si>
  <si>
    <t>À calculer manuellement / via dashboard</t>
  </si>
  <si>
    <t>Mars 2026</t>
  </si>
  <si>
    <t>Avril 2026</t>
  </si>
  <si>
    <t>Moyenne T2</t>
  </si>
  <si>
    <t>Synthèse par consultant — vue trimestrielle</t>
  </si>
  <si>
    <t>Vue par consultant : présences et statut OKR par mois, plus régularité sur la période.</t>
  </si>
  <si>
    <t>Févr. 2026</t>
  </si>
  <si>
    <t>Avr. 2026</t>
  </si>
  <si>
    <t>Mois ≥2j</t>
  </si>
  <si>
    <t>Régularité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</si>
</sst>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2"/>
  <sheetViews>
    <sheetView workbookViewId="0">
      <selection sqref="A1:C1"/>
    </sheetView>
  </sheetViews>
  <sheetFormatPr baseColWidth="10" defaultRowHeight="16" x14ac:dyDescent="0.2"/>
  <sheetData>
    <row r="1" spans="1:3" x14ac:dyDescent="0.2">
      <c r="A1" s="2" t="s">
        <v>0</v>
      </c>
      <c r="B1" s="2"/>
      <c r="C1" s="2"/>
    </row>
    <row r="3" spans="1:3" x14ac:dyDescent="0.2">
      <c r="A3" s="2" t="s">
        <v>1</v>
      </c>
      <c r="B3" s="2"/>
      <c r="C3" s="2"/>
    </row>
    <row r="5" spans="1:3" x14ac:dyDescent="0.2">
      <c r="A5" t="s">
        <v>2</v>
      </c>
    </row>
    <row r="6" spans="1:3" x14ac:dyDescent="0.2">
      <c r="A6" t="s">
        <v>3</v>
      </c>
      <c r="B6" t="s">
        <v>4</v>
      </c>
      <c r="C6" t="s">
        <v>5</v>
      </c>
    </row>
    <row r="7" spans="1:3" x14ac:dyDescent="0.2">
      <c r="A7" t="s">
        <v>6</v>
      </c>
      <c r="B7" t="s">
        <v>7</v>
      </c>
      <c r="C7" t="s">
        <v>8</v>
      </c>
    </row>
    <row r="8" spans="1:3" x14ac:dyDescent="0.2">
      <c r="A8" t="s">
        <v>9</v>
      </c>
      <c r="B8" t="s">
        <v>10</v>
      </c>
      <c r="C8" t="s">
        <v>11</v>
      </c>
    </row>
    <row r="9" spans="1:3" x14ac:dyDescent="0.2">
      <c r="A9" t="s">
        <v>12</v>
      </c>
      <c r="B9" t="s">
        <v>13</v>
      </c>
      <c r="C9" t="s">
        <v>14</v>
      </c>
    </row>
    <row r="10" spans="1:3" x14ac:dyDescent="0.2">
      <c r="A10" t="s">
        <v>15</v>
      </c>
      <c r="B10" t="s">
        <v>16</v>
      </c>
      <c r="C10" t="s">
        <v>17</v>
      </c>
    </row>
    <row r="11" spans="1:3" x14ac:dyDescent="0.2">
      <c r="A11" t="s">
        <v>18</v>
      </c>
      <c r="B11" t="s">
        <v>19</v>
      </c>
      <c r="C11" t="s">
        <v>20</v>
      </c>
    </row>
    <row r="13" spans="1:3" x14ac:dyDescent="0.2">
      <c r="A13" s="2" t="s">
        <v>21</v>
      </c>
      <c r="B13" s="2"/>
      <c r="C13" s="2"/>
    </row>
    <row r="14" spans="1:3" x14ac:dyDescent="0.2">
      <c r="A14" s="2" t="s">
        <v>22</v>
      </c>
      <c r="B14" s="2"/>
      <c r="C14" s="2"/>
    </row>
    <row r="15" spans="1:3" x14ac:dyDescent="0.2">
      <c r="A15" s="2" t="s">
        <v>23</v>
      </c>
      <c r="B15" s="2"/>
      <c r="C15" s="2"/>
    </row>
    <row r="16" spans="1:3" x14ac:dyDescent="0.2">
      <c r="A16" s="2" t="s">
        <v>24</v>
      </c>
      <c r="B16" s="2"/>
      <c r="C16" s="2"/>
    </row>
    <row r="17" spans="1:3" x14ac:dyDescent="0.2">
      <c r="A17" s="2" t="s">
        <v>25</v>
      </c>
      <c r="B17" s="2"/>
      <c r="C17" s="2"/>
    </row>
    <row r="18" spans="1:3" x14ac:dyDescent="0.2">
      <c r="A18" t="s">
        <v>26</v>
      </c>
    </row>
    <row r="21" spans="1:3" x14ac:dyDescent="0.2">
      <c r="A21" s="2" t="s">
        <v>27</v>
      </c>
      <c r="B21" s="2"/>
      <c r="C21" s="2"/>
    </row>
    <row r="22" spans="1:3" x14ac:dyDescent="0.2">
      <c r="A22" t="s">
        <v>28</v>
      </c>
    </row>
  </sheetData>
  <mergeCells count="8">
    <mergeCell ref="A16:C16"/>
    <mergeCell ref="A17:C17"/>
    <mergeCell ref="A21:C21"/>
    <mergeCell ref="A1:C1"/>
    <mergeCell ref="A3:C3"/>
    <mergeCell ref="A13:C13"/>
    <mergeCell ref="A14:C14"/>
    <mergeCell ref="A15:C15"/>
  </mergeCells>
  <pageMargins left="0.75" right="0.75" top="1" bottom="1" header="0.511811023622047" footer="0.511811023622047"/>
  <ignoredErrors>
    <ignoredError sqref="A1:C2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9"/>
  <sheetViews>
    <sheetView workbookViewId="0"/>
  </sheetViews>
  <sheetFormatPr baseColWidth="10" defaultRowHeight="16" x14ac:dyDescent="0.2"/>
  <sheetData>
    <row r="1" spans="1:3" x14ac:dyDescent="0.2">
      <c r="A1" s="2" t="s">
        <v>29</v>
      </c>
      <c r="B1" s="2"/>
      <c r="C1" s="2"/>
    </row>
    <row r="3" spans="1:3" x14ac:dyDescent="0.2">
      <c r="A3" t="s">
        <v>30</v>
      </c>
      <c r="B3" t="s">
        <v>31</v>
      </c>
      <c r="C3" t="s">
        <v>32</v>
      </c>
    </row>
    <row r="4" spans="1:3" x14ac:dyDescent="0.2">
      <c r="A4" t="s">
        <v>33</v>
      </c>
    </row>
    <row r="5" spans="1:3" x14ac:dyDescent="0.2">
      <c r="A5" t="s">
        <v>34</v>
      </c>
    </row>
    <row r="6" spans="1:3" x14ac:dyDescent="0.2">
      <c r="A6" t="s">
        <v>35</v>
      </c>
    </row>
    <row r="7" spans="1:3" x14ac:dyDescent="0.2">
      <c r="A7" t="s">
        <v>36</v>
      </c>
    </row>
    <row r="8" spans="1:3" x14ac:dyDescent="0.2">
      <c r="A8" t="s">
        <v>37</v>
      </c>
    </row>
    <row r="9" spans="1:3" x14ac:dyDescent="0.2">
      <c r="A9" t="s">
        <v>38</v>
      </c>
    </row>
    <row r="10" spans="1:3" x14ac:dyDescent="0.2">
      <c r="A10" t="s">
        <v>39</v>
      </c>
    </row>
    <row r="11" spans="1:3" x14ac:dyDescent="0.2">
      <c r="A11" t="s">
        <v>40</v>
      </c>
    </row>
    <row r="12" spans="1:3" x14ac:dyDescent="0.2">
      <c r="A12" t="s">
        <v>41</v>
      </c>
    </row>
    <row r="13" spans="1:3" x14ac:dyDescent="0.2">
      <c r="A13" t="s">
        <v>42</v>
      </c>
      <c r="B13" s="1">
        <v>46082</v>
      </c>
    </row>
    <row r="14" spans="1:3" x14ac:dyDescent="0.2">
      <c r="A14" t="s">
        <v>43</v>
      </c>
    </row>
    <row r="15" spans="1:3" x14ac:dyDescent="0.2">
      <c r="A15" t="s">
        <v>44</v>
      </c>
    </row>
    <row r="16" spans="1:3" x14ac:dyDescent="0.2">
      <c r="A16" t="s">
        <v>45</v>
      </c>
    </row>
    <row r="17" spans="1:1" x14ac:dyDescent="0.2">
      <c r="A17" t="s">
        <v>46</v>
      </c>
    </row>
    <row r="18" spans="1:1" x14ac:dyDescent="0.2">
      <c r="A18" t="s">
        <v>47</v>
      </c>
    </row>
    <row r="19" spans="1:1" x14ac:dyDescent="0.2">
      <c r="A19" t="s">
        <v>48</v>
      </c>
    </row>
    <row r="20" spans="1:1" x14ac:dyDescent="0.2">
      <c r="A20" t="s">
        <v>49</v>
      </c>
    </row>
    <row r="21" spans="1:1" x14ac:dyDescent="0.2">
      <c r="A21" t="s">
        <v>50</v>
      </c>
    </row>
    <row r="22" spans="1:1" x14ac:dyDescent="0.2">
      <c r="A22" t="s">
        <v>51</v>
      </c>
    </row>
    <row r="23" spans="1:1" x14ac:dyDescent="0.2">
      <c r="A23" t="s">
        <v>52</v>
      </c>
    </row>
    <row r="24" spans="1:1" x14ac:dyDescent="0.2">
      <c r="A24" t="s">
        <v>53</v>
      </c>
    </row>
    <row r="25" spans="1:1" x14ac:dyDescent="0.2">
      <c r="A25" t="s">
        <v>54</v>
      </c>
    </row>
    <row r="26" spans="1:1" x14ac:dyDescent="0.2">
      <c r="A26" t="s">
        <v>55</v>
      </c>
    </row>
    <row r="27" spans="1:1" x14ac:dyDescent="0.2">
      <c r="A27" t="s">
        <v>56</v>
      </c>
    </row>
    <row r="28" spans="1:1" x14ac:dyDescent="0.2">
      <c r="A28" t="s">
        <v>57</v>
      </c>
    </row>
    <row r="29" spans="1:1" x14ac:dyDescent="0.2">
      <c r="A29" t="s">
        <v>58</v>
      </c>
    </row>
  </sheetData>
  <mergeCells count="1">
    <mergeCell ref="A1:C1"/>
  </mergeCells>
  <pageMargins left="0.75" right="0.75" top="1" bottom="1" header="0.511811023622047" footer="0.511811023622047"/>
  <ignoredErrors>
    <ignoredError sqref="A1:C29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"/>
  <sheetViews>
    <sheetView workbookViewId="0"/>
  </sheetViews>
  <sheetFormatPr baseColWidth="10" defaultRowHeight="16" x14ac:dyDescent="0.2"/>
  <sheetData>
    <row r="1" spans="1:3" x14ac:dyDescent="0.2">
      <c r="A1" s="2" t="s">
        <v>59</v>
      </c>
      <c r="B1" s="2"/>
      <c r="C1" s="2"/>
    </row>
    <row r="3" spans="1:3" x14ac:dyDescent="0.2">
      <c r="A3" t="s">
        <v>60</v>
      </c>
      <c r="B3" t="s">
        <v>61</v>
      </c>
      <c r="C3" t="s">
        <v>62</v>
      </c>
    </row>
    <row r="4" spans="1:3" x14ac:dyDescent="0.2">
      <c r="A4">
        <v>46072</v>
      </c>
      <c r="B4" t="s">
        <v>63</v>
      </c>
      <c r="C4" t="s">
        <v>64</v>
      </c>
    </row>
    <row r="5" spans="1:3" x14ac:dyDescent="0.2">
      <c r="A5">
        <v>46107</v>
      </c>
      <c r="B5" t="s">
        <v>65</v>
      </c>
      <c r="C5" t="s">
        <v>66</v>
      </c>
    </row>
    <row r="6" spans="1:3" x14ac:dyDescent="0.2">
      <c r="A6">
        <v>46135</v>
      </c>
      <c r="B6" t="s">
        <v>65</v>
      </c>
      <c r="C6" t="s">
        <v>67</v>
      </c>
    </row>
  </sheetData>
  <mergeCells count="1">
    <mergeCell ref="A1:C1"/>
  </mergeCells>
  <pageMargins left="0.75" right="0.75" top="1" bottom="1" header="0.511811023622047" footer="0.511811023622047"/>
  <ignoredErrors>
    <ignoredError sqref="A1:C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35"/>
  <sheetViews>
    <sheetView workbookViewId="0"/>
  </sheetViews>
  <sheetFormatPr baseColWidth="10" defaultRowHeight="16" x14ac:dyDescent="0.2"/>
  <sheetData>
    <row r="1" spans="1:23" x14ac:dyDescent="0.2">
      <c r="A1" t="s">
        <v>68</v>
      </c>
    </row>
    <row r="3" spans="1:23" x14ac:dyDescent="0.2">
      <c r="A3" t="s">
        <v>30</v>
      </c>
      <c r="B3">
        <v>46055</v>
      </c>
      <c r="C3">
        <v>46056</v>
      </c>
      <c r="D3">
        <v>46057</v>
      </c>
      <c r="E3">
        <v>46058</v>
      </c>
      <c r="F3">
        <v>46059</v>
      </c>
      <c r="G3">
        <v>46062</v>
      </c>
      <c r="H3">
        <v>46063</v>
      </c>
      <c r="I3">
        <v>46064</v>
      </c>
      <c r="J3">
        <v>46065</v>
      </c>
      <c r="K3">
        <v>46066</v>
      </c>
      <c r="L3">
        <v>46069</v>
      </c>
      <c r="M3">
        <v>46070</v>
      </c>
      <c r="N3">
        <v>46071</v>
      </c>
      <c r="O3">
        <v>46072</v>
      </c>
      <c r="P3">
        <v>46073</v>
      </c>
      <c r="Q3">
        <v>46076</v>
      </c>
      <c r="R3">
        <v>46077</v>
      </c>
      <c r="S3">
        <v>46078</v>
      </c>
      <c r="T3">
        <v>46079</v>
      </c>
      <c r="U3">
        <v>46080</v>
      </c>
      <c r="V3" t="s">
        <v>69</v>
      </c>
      <c r="W3" t="s">
        <v>70</v>
      </c>
    </row>
    <row r="4" spans="1:23" x14ac:dyDescent="0.2">
      <c r="A4" t="s">
        <v>43</v>
      </c>
      <c r="H4">
        <v>1</v>
      </c>
      <c r="O4">
        <v>1</v>
      </c>
      <c r="R4">
        <v>1</v>
      </c>
      <c r="V4">
        <f t="shared" ref="V4:V23" si="0">COUNTIF(B4:U4,1)+COUNTIF(B4:U4,"IC")</f>
        <v>3</v>
      </c>
      <c r="W4" t="str">
        <f t="shared" ref="W4:W23" si="1">IF(COUNTIF(B4:U4,"M")&gt;0,"N/A (absence longue)",IF(V4&gt;=2,"Atteint","Sous objectif"))</f>
        <v>Atteint</v>
      </c>
    </row>
    <row r="5" spans="1:23" x14ac:dyDescent="0.2">
      <c r="A5" t="s">
        <v>58</v>
      </c>
      <c r="B5" t="s">
        <v>15</v>
      </c>
      <c r="C5" t="s">
        <v>15</v>
      </c>
      <c r="D5" t="s">
        <v>15</v>
      </c>
      <c r="E5" t="s">
        <v>15</v>
      </c>
      <c r="F5" t="s">
        <v>15</v>
      </c>
      <c r="G5" t="s">
        <v>15</v>
      </c>
      <c r="H5" t="s">
        <v>15</v>
      </c>
      <c r="I5" t="s">
        <v>15</v>
      </c>
      <c r="J5" t="s">
        <v>15</v>
      </c>
      <c r="K5" t="s">
        <v>15</v>
      </c>
      <c r="L5" t="s">
        <v>15</v>
      </c>
      <c r="M5" t="s">
        <v>15</v>
      </c>
      <c r="N5" t="s">
        <v>15</v>
      </c>
      <c r="O5" t="s">
        <v>15</v>
      </c>
      <c r="P5" t="s">
        <v>15</v>
      </c>
      <c r="Q5" t="s">
        <v>15</v>
      </c>
      <c r="R5" t="s">
        <v>15</v>
      </c>
      <c r="S5" t="s">
        <v>15</v>
      </c>
      <c r="T5" t="s">
        <v>15</v>
      </c>
      <c r="U5" t="s">
        <v>15</v>
      </c>
      <c r="V5">
        <f t="shared" si="0"/>
        <v>0</v>
      </c>
      <c r="W5" t="str">
        <f t="shared" si="1"/>
        <v>N/A (absence longue)</v>
      </c>
    </row>
    <row r="6" spans="1:23" x14ac:dyDescent="0.2">
      <c r="A6" t="s">
        <v>40</v>
      </c>
      <c r="O6">
        <v>1</v>
      </c>
      <c r="V6">
        <f t="shared" si="0"/>
        <v>1</v>
      </c>
      <c r="W6" t="str">
        <f t="shared" si="1"/>
        <v>Sous objectif</v>
      </c>
    </row>
    <row r="7" spans="1:23" x14ac:dyDescent="0.2">
      <c r="A7" t="s">
        <v>50</v>
      </c>
      <c r="C7">
        <v>1</v>
      </c>
      <c r="E7">
        <v>1</v>
      </c>
      <c r="J7">
        <v>1</v>
      </c>
      <c r="O7">
        <v>1</v>
      </c>
      <c r="R7">
        <v>1</v>
      </c>
      <c r="V7">
        <f t="shared" si="0"/>
        <v>5</v>
      </c>
      <c r="W7" t="str">
        <f t="shared" si="1"/>
        <v>Atteint</v>
      </c>
    </row>
    <row r="8" spans="1:23" x14ac:dyDescent="0.2">
      <c r="A8" t="s">
        <v>49</v>
      </c>
      <c r="B8" t="s">
        <v>9</v>
      </c>
      <c r="C8" t="s">
        <v>9</v>
      </c>
      <c r="E8" t="s">
        <v>9</v>
      </c>
      <c r="H8" t="s">
        <v>9</v>
      </c>
      <c r="I8" t="s">
        <v>9</v>
      </c>
      <c r="J8" t="s">
        <v>9</v>
      </c>
      <c r="L8" t="s">
        <v>9</v>
      </c>
      <c r="M8" t="s">
        <v>9</v>
      </c>
      <c r="Q8" t="s">
        <v>9</v>
      </c>
      <c r="R8" t="s">
        <v>9</v>
      </c>
      <c r="T8" t="s">
        <v>9</v>
      </c>
      <c r="V8">
        <f t="shared" si="0"/>
        <v>11</v>
      </c>
      <c r="W8" t="str">
        <f t="shared" si="1"/>
        <v>Atteint</v>
      </c>
    </row>
    <row r="9" spans="1:23" x14ac:dyDescent="0.2">
      <c r="A9" t="s">
        <v>37</v>
      </c>
      <c r="O9">
        <v>1</v>
      </c>
      <c r="V9">
        <f t="shared" si="0"/>
        <v>1</v>
      </c>
      <c r="W9" t="str">
        <f t="shared" si="1"/>
        <v>Sous objectif</v>
      </c>
    </row>
    <row r="10" spans="1:23" x14ac:dyDescent="0.2">
      <c r="A10" t="s">
        <v>48</v>
      </c>
      <c r="V10">
        <f t="shared" si="0"/>
        <v>0</v>
      </c>
      <c r="W10" t="str">
        <f t="shared" si="1"/>
        <v>Sous objectif</v>
      </c>
    </row>
    <row r="11" spans="1:23" x14ac:dyDescent="0.2">
      <c r="A11" t="s">
        <v>36</v>
      </c>
      <c r="B11">
        <v>1</v>
      </c>
      <c r="C11">
        <v>1</v>
      </c>
      <c r="E11">
        <v>1</v>
      </c>
      <c r="R11">
        <v>1</v>
      </c>
      <c r="V11">
        <f t="shared" si="0"/>
        <v>4</v>
      </c>
      <c r="W11" t="str">
        <f t="shared" si="1"/>
        <v>Atteint</v>
      </c>
    </row>
    <row r="12" spans="1:23" x14ac:dyDescent="0.2">
      <c r="A12" t="s">
        <v>33</v>
      </c>
      <c r="V12">
        <f t="shared" si="0"/>
        <v>0</v>
      </c>
      <c r="W12" t="str">
        <f t="shared" si="1"/>
        <v>Sous objectif</v>
      </c>
    </row>
    <row r="13" spans="1:23" x14ac:dyDescent="0.2">
      <c r="A13" t="s">
        <v>56</v>
      </c>
      <c r="C13">
        <v>1</v>
      </c>
      <c r="H13">
        <v>1</v>
      </c>
      <c r="R13">
        <v>1</v>
      </c>
      <c r="V13">
        <f t="shared" si="0"/>
        <v>3</v>
      </c>
      <c r="W13" t="str">
        <f t="shared" si="1"/>
        <v>Atteint</v>
      </c>
    </row>
    <row r="14" spans="1:23" x14ac:dyDescent="0.2">
      <c r="A14" t="s">
        <v>57</v>
      </c>
      <c r="H14">
        <v>1</v>
      </c>
      <c r="O14">
        <v>1</v>
      </c>
      <c r="R14">
        <v>1</v>
      </c>
      <c r="V14">
        <f t="shared" si="0"/>
        <v>3</v>
      </c>
      <c r="W14" t="str">
        <f t="shared" si="1"/>
        <v>Atteint</v>
      </c>
    </row>
    <row r="15" spans="1:23" x14ac:dyDescent="0.2">
      <c r="A15" t="s">
        <v>41</v>
      </c>
      <c r="V15">
        <f t="shared" si="0"/>
        <v>0</v>
      </c>
      <c r="W15" t="str">
        <f t="shared" si="1"/>
        <v>Sous objectif</v>
      </c>
    </row>
    <row r="16" spans="1:23" x14ac:dyDescent="0.2">
      <c r="A16" t="s">
        <v>47</v>
      </c>
      <c r="H16">
        <v>1</v>
      </c>
      <c r="M16">
        <v>1</v>
      </c>
      <c r="O16">
        <v>1</v>
      </c>
      <c r="V16">
        <f t="shared" si="0"/>
        <v>3</v>
      </c>
      <c r="W16" t="str">
        <f t="shared" si="1"/>
        <v>Atteint</v>
      </c>
    </row>
    <row r="17" spans="1:23" x14ac:dyDescent="0.2">
      <c r="A17" t="s">
        <v>55</v>
      </c>
      <c r="H17">
        <v>1</v>
      </c>
      <c r="V17">
        <f t="shared" si="0"/>
        <v>1</v>
      </c>
      <c r="W17" t="str">
        <f t="shared" si="1"/>
        <v>Sous objectif</v>
      </c>
    </row>
    <row r="18" spans="1:23" x14ac:dyDescent="0.2">
      <c r="A18" t="s">
        <v>52</v>
      </c>
      <c r="C18">
        <v>1</v>
      </c>
      <c r="E18">
        <v>1</v>
      </c>
      <c r="H18">
        <v>1</v>
      </c>
      <c r="J18">
        <v>1</v>
      </c>
      <c r="M18">
        <v>1</v>
      </c>
      <c r="O18">
        <v>1</v>
      </c>
      <c r="R18">
        <v>1</v>
      </c>
      <c r="T18">
        <v>1</v>
      </c>
      <c r="V18">
        <f t="shared" si="0"/>
        <v>8</v>
      </c>
      <c r="W18" t="str">
        <f t="shared" si="1"/>
        <v>Atteint</v>
      </c>
    </row>
    <row r="19" spans="1:23" x14ac:dyDescent="0.2">
      <c r="A19" t="s">
        <v>44</v>
      </c>
      <c r="H19">
        <v>1</v>
      </c>
      <c r="O19">
        <v>1</v>
      </c>
      <c r="V19">
        <f t="shared" si="0"/>
        <v>2</v>
      </c>
      <c r="W19" t="str">
        <f t="shared" si="1"/>
        <v>Atteint</v>
      </c>
    </row>
    <row r="20" spans="1:23" x14ac:dyDescent="0.2">
      <c r="A20" t="s">
        <v>46</v>
      </c>
      <c r="H20">
        <v>1</v>
      </c>
      <c r="O20">
        <v>1</v>
      </c>
      <c r="V20">
        <f t="shared" si="0"/>
        <v>2</v>
      </c>
      <c r="W20" t="str">
        <f t="shared" si="1"/>
        <v>Atteint</v>
      </c>
    </row>
    <row r="21" spans="1:23" x14ac:dyDescent="0.2">
      <c r="A21" t="s">
        <v>38</v>
      </c>
      <c r="H21">
        <v>1</v>
      </c>
      <c r="O21">
        <v>1</v>
      </c>
      <c r="V21">
        <f t="shared" si="0"/>
        <v>2</v>
      </c>
      <c r="W21" t="str">
        <f t="shared" si="1"/>
        <v>Atteint</v>
      </c>
    </row>
    <row r="22" spans="1:23" x14ac:dyDescent="0.2">
      <c r="A22" t="s">
        <v>39</v>
      </c>
      <c r="H22">
        <v>1</v>
      </c>
      <c r="O22">
        <v>1</v>
      </c>
      <c r="V22">
        <f t="shared" si="0"/>
        <v>2</v>
      </c>
      <c r="W22" t="str">
        <f t="shared" si="1"/>
        <v>Atteint</v>
      </c>
    </row>
    <row r="23" spans="1:23" x14ac:dyDescent="0.2">
      <c r="A23" t="s">
        <v>35</v>
      </c>
      <c r="R23">
        <v>1</v>
      </c>
      <c r="V23">
        <f t="shared" si="0"/>
        <v>1</v>
      </c>
      <c r="W23" t="str">
        <f t="shared" si="1"/>
        <v>Sous objectif</v>
      </c>
    </row>
    <row r="24" spans="1:23" x14ac:dyDescent="0.2">
      <c r="A24" t="s">
        <v>45</v>
      </c>
      <c r="V24">
        <f>COUNTIF(B25:U25,1)+COUNTIF(B25:U25,"IC")</f>
        <v>11</v>
      </c>
      <c r="W24" t="str">
        <f>IF(COUNTIF(B25:U25,"M")&gt;0,"N/A (absence longue)",IF(V25&gt;=2,"Atteint","Sous objectif"))</f>
        <v>Sous objectif</v>
      </c>
    </row>
    <row r="25" spans="1:23" x14ac:dyDescent="0.2">
      <c r="A25" t="s">
        <v>53</v>
      </c>
      <c r="B25">
        <v>1</v>
      </c>
      <c r="C25">
        <v>1</v>
      </c>
      <c r="E25">
        <v>1</v>
      </c>
      <c r="G25">
        <v>1</v>
      </c>
      <c r="H25">
        <v>1</v>
      </c>
      <c r="J25">
        <v>1</v>
      </c>
      <c r="L25">
        <v>1</v>
      </c>
      <c r="O25">
        <v>1</v>
      </c>
      <c r="Q25">
        <v>1</v>
      </c>
      <c r="R25">
        <v>1</v>
      </c>
      <c r="T25">
        <v>1</v>
      </c>
      <c r="V25">
        <f>COUNTIF(B26:U26,1)+COUNTIF(B26:U26,"IC")</f>
        <v>1</v>
      </c>
      <c r="W25" t="str">
        <f>IF(COUNTIF(B26:U26,"M")&gt;0,"N/A (absence longue)",IF(V26&gt;=2,"Atteint","Sous objectif"))</f>
        <v>Atteint</v>
      </c>
    </row>
    <row r="26" spans="1:23" x14ac:dyDescent="0.2">
      <c r="A26" t="s">
        <v>54</v>
      </c>
      <c r="O26">
        <v>1</v>
      </c>
      <c r="V26">
        <f>COUNTIF(B27:U27,1)+COUNTIF(B27:U27,"IC")</f>
        <v>5</v>
      </c>
      <c r="W26" t="str">
        <f>IF(COUNTIF(B27:U27,"M")&gt;0,"N/A (absence longue)",IF(V27&gt;=2,"Atteint","Sous objectif"))</f>
        <v>Atteint</v>
      </c>
    </row>
    <row r="27" spans="1:23" x14ac:dyDescent="0.2">
      <c r="A27" t="s">
        <v>51</v>
      </c>
      <c r="C27">
        <v>1</v>
      </c>
      <c r="H27">
        <v>1</v>
      </c>
      <c r="M27">
        <v>1</v>
      </c>
      <c r="O27">
        <v>1</v>
      </c>
      <c r="R27">
        <v>1</v>
      </c>
      <c r="V27">
        <f>COUNTIF(B28:U28,1)+COUNTIF(B28:U28,"IC")</f>
        <v>4</v>
      </c>
      <c r="W27" t="str">
        <f>IF(COUNTIF(B28:U28,"M")&gt;0,"N/A (absence longue)",IF(V28&gt;=2,"Atteint","Sous objectif"))</f>
        <v>Sous objectif</v>
      </c>
    </row>
    <row r="28" spans="1:23" x14ac:dyDescent="0.2">
      <c r="A28" t="s">
        <v>34</v>
      </c>
      <c r="C28">
        <v>1</v>
      </c>
      <c r="H28">
        <v>1</v>
      </c>
      <c r="O28">
        <v>1</v>
      </c>
      <c r="R28">
        <v>1</v>
      </c>
      <c r="V28">
        <f>COUNTIF(B29:U29,1)+COUNTIF(B29:U29,"IC")</f>
        <v>0</v>
      </c>
      <c r="W28" t="str">
        <f>IF(COUNTIF(B29:U29,"M")&gt;0,"N/A (absence longue)",IF(V29&gt;=2,"Atteint","Sous objectif"))</f>
        <v>Sous objectif</v>
      </c>
    </row>
    <row r="32" spans="1:23" x14ac:dyDescent="0.2">
      <c r="A32" t="s">
        <v>71</v>
      </c>
    </row>
    <row r="33" spans="1:15" x14ac:dyDescent="0.2">
      <c r="A33" t="s">
        <v>65</v>
      </c>
      <c r="O33" t="s">
        <v>18</v>
      </c>
    </row>
    <row r="34" spans="1:15" x14ac:dyDescent="0.2">
      <c r="A34" t="s">
        <v>63</v>
      </c>
    </row>
    <row r="35" spans="1:15" x14ac:dyDescent="0.2">
      <c r="A35" t="s">
        <v>72</v>
      </c>
    </row>
  </sheetData>
  <pageMargins left="0.75" right="0.75" top="1" bottom="1" header="0.511811023622047" footer="0.511811023622047"/>
  <ignoredErrors>
    <ignoredError sqref="A1:W35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35"/>
  <sheetViews>
    <sheetView workbookViewId="0"/>
  </sheetViews>
  <sheetFormatPr baseColWidth="10" defaultRowHeight="16" x14ac:dyDescent="0.2"/>
  <sheetData>
    <row r="1" spans="1:25" x14ac:dyDescent="0.2">
      <c r="A1" t="s">
        <v>73</v>
      </c>
    </row>
    <row r="3" spans="1:25" x14ac:dyDescent="0.2">
      <c r="A3" t="s">
        <v>30</v>
      </c>
      <c r="B3">
        <v>46083</v>
      </c>
      <c r="C3">
        <v>46084</v>
      </c>
      <c r="D3">
        <v>46085</v>
      </c>
      <c r="E3">
        <v>46086</v>
      </c>
      <c r="F3">
        <v>46087</v>
      </c>
      <c r="G3">
        <v>46090</v>
      </c>
      <c r="H3">
        <v>46091</v>
      </c>
      <c r="I3">
        <v>46092</v>
      </c>
      <c r="J3">
        <v>46093</v>
      </c>
      <c r="K3">
        <v>46094</v>
      </c>
      <c r="L3">
        <v>46097</v>
      </c>
      <c r="M3">
        <v>46098</v>
      </c>
      <c r="N3">
        <v>46099</v>
      </c>
      <c r="O3">
        <v>46100</v>
      </c>
      <c r="P3">
        <v>46101</v>
      </c>
      <c r="Q3">
        <v>46104</v>
      </c>
      <c r="R3">
        <v>46105</v>
      </c>
      <c r="S3">
        <v>46106</v>
      </c>
      <c r="T3">
        <v>46107</v>
      </c>
      <c r="U3">
        <v>46108</v>
      </c>
      <c r="V3">
        <v>46111</v>
      </c>
      <c r="W3">
        <v>46112</v>
      </c>
      <c r="X3" t="s">
        <v>69</v>
      </c>
      <c r="Y3" t="s">
        <v>70</v>
      </c>
    </row>
    <row r="4" spans="1:25" x14ac:dyDescent="0.2">
      <c r="A4" t="s">
        <v>43</v>
      </c>
      <c r="I4">
        <v>1</v>
      </c>
      <c r="M4">
        <v>1</v>
      </c>
      <c r="T4">
        <v>1</v>
      </c>
      <c r="X4">
        <f t="shared" ref="X4:X29" si="0">COUNTIF(B4:W4,1)+COUNTIF(B4:W4,"IC")</f>
        <v>3</v>
      </c>
      <c r="Y4" t="str">
        <f t="shared" ref="Y4:Y29" si="1">IF(COUNTIF(B4:W4,"M")&gt;0,"N/A (absence longue)",IF(X4&gt;=2,"Atteint","Sous objectif"))</f>
        <v>Atteint</v>
      </c>
    </row>
    <row r="5" spans="1:25" x14ac:dyDescent="0.2">
      <c r="A5" t="s">
        <v>58</v>
      </c>
      <c r="B5" t="s">
        <v>15</v>
      </c>
      <c r="C5" t="s">
        <v>15</v>
      </c>
      <c r="D5" t="s">
        <v>15</v>
      </c>
      <c r="E5" t="s">
        <v>15</v>
      </c>
      <c r="F5" t="s">
        <v>15</v>
      </c>
      <c r="G5" t="s">
        <v>15</v>
      </c>
      <c r="H5" t="s">
        <v>15</v>
      </c>
      <c r="I5" t="s">
        <v>15</v>
      </c>
      <c r="J5" t="s">
        <v>15</v>
      </c>
      <c r="K5" t="s">
        <v>15</v>
      </c>
      <c r="L5" t="s">
        <v>15</v>
      </c>
      <c r="M5" t="s">
        <v>15</v>
      </c>
      <c r="N5" t="s">
        <v>15</v>
      </c>
      <c r="O5" t="s">
        <v>15</v>
      </c>
      <c r="P5" t="s">
        <v>15</v>
      </c>
      <c r="Q5" t="s">
        <v>15</v>
      </c>
      <c r="R5" t="s">
        <v>15</v>
      </c>
      <c r="S5" t="s">
        <v>15</v>
      </c>
      <c r="T5" t="s">
        <v>15</v>
      </c>
      <c r="U5" t="s">
        <v>15</v>
      </c>
      <c r="V5" t="s">
        <v>15</v>
      </c>
      <c r="W5" t="s">
        <v>15</v>
      </c>
      <c r="X5">
        <f t="shared" si="0"/>
        <v>0</v>
      </c>
      <c r="Y5" t="str">
        <f t="shared" si="1"/>
        <v>N/A (absence longue)</v>
      </c>
    </row>
    <row r="6" spans="1:25" x14ac:dyDescent="0.2">
      <c r="A6" t="s">
        <v>40</v>
      </c>
      <c r="X6">
        <f t="shared" si="0"/>
        <v>0</v>
      </c>
      <c r="Y6" t="str">
        <f t="shared" si="1"/>
        <v>Sous objectif</v>
      </c>
    </row>
    <row r="7" spans="1:25" x14ac:dyDescent="0.2">
      <c r="A7" t="s">
        <v>50</v>
      </c>
      <c r="C7">
        <v>1</v>
      </c>
      <c r="M7">
        <v>1</v>
      </c>
      <c r="O7">
        <v>1</v>
      </c>
      <c r="R7">
        <v>1</v>
      </c>
      <c r="T7">
        <v>1</v>
      </c>
      <c r="W7">
        <v>1</v>
      </c>
      <c r="X7">
        <f t="shared" si="0"/>
        <v>6</v>
      </c>
      <c r="Y7" t="str">
        <f t="shared" si="1"/>
        <v>Atteint</v>
      </c>
    </row>
    <row r="8" spans="1:25" x14ac:dyDescent="0.2">
      <c r="A8" t="s">
        <v>49</v>
      </c>
      <c r="B8" t="s">
        <v>9</v>
      </c>
      <c r="C8" t="s">
        <v>9</v>
      </c>
      <c r="E8" t="s">
        <v>9</v>
      </c>
      <c r="G8" t="s">
        <v>9</v>
      </c>
      <c r="I8" t="s">
        <v>9</v>
      </c>
      <c r="J8" t="s">
        <v>9</v>
      </c>
      <c r="M8" t="s">
        <v>9</v>
      </c>
      <c r="O8" t="s">
        <v>9</v>
      </c>
      <c r="R8" t="s">
        <v>9</v>
      </c>
      <c r="T8" t="s">
        <v>9</v>
      </c>
      <c r="V8" t="s">
        <v>9</v>
      </c>
      <c r="W8" t="s">
        <v>9</v>
      </c>
      <c r="X8">
        <f t="shared" si="0"/>
        <v>12</v>
      </c>
      <c r="Y8" t="str">
        <f t="shared" si="1"/>
        <v>Atteint</v>
      </c>
    </row>
    <row r="9" spans="1:25" x14ac:dyDescent="0.2">
      <c r="A9" t="s">
        <v>37</v>
      </c>
      <c r="I9">
        <v>1</v>
      </c>
      <c r="X9">
        <f t="shared" si="0"/>
        <v>1</v>
      </c>
      <c r="Y9" t="str">
        <f t="shared" si="1"/>
        <v>Sous objectif</v>
      </c>
    </row>
    <row r="10" spans="1:25" x14ac:dyDescent="0.2">
      <c r="A10" t="s">
        <v>48</v>
      </c>
      <c r="E10">
        <v>1</v>
      </c>
      <c r="O10">
        <v>1</v>
      </c>
      <c r="X10">
        <f t="shared" si="0"/>
        <v>2</v>
      </c>
      <c r="Y10" t="str">
        <f t="shared" si="1"/>
        <v>Atteint</v>
      </c>
    </row>
    <row r="11" spans="1:25" x14ac:dyDescent="0.2">
      <c r="A11" t="s">
        <v>36</v>
      </c>
      <c r="T11">
        <v>1</v>
      </c>
      <c r="X11">
        <f t="shared" si="0"/>
        <v>1</v>
      </c>
      <c r="Y11" t="str">
        <f t="shared" si="1"/>
        <v>Sous objectif</v>
      </c>
    </row>
    <row r="12" spans="1:25" x14ac:dyDescent="0.2">
      <c r="A12" t="s">
        <v>33</v>
      </c>
      <c r="I12">
        <v>1</v>
      </c>
      <c r="L12">
        <v>1</v>
      </c>
      <c r="X12">
        <f t="shared" si="0"/>
        <v>2</v>
      </c>
      <c r="Y12" t="str">
        <f t="shared" si="1"/>
        <v>Atteint</v>
      </c>
    </row>
    <row r="13" spans="1:25" x14ac:dyDescent="0.2">
      <c r="A13" t="s">
        <v>56</v>
      </c>
      <c r="I13">
        <v>1</v>
      </c>
      <c r="M13">
        <v>1</v>
      </c>
      <c r="X13">
        <f t="shared" si="0"/>
        <v>2</v>
      </c>
      <c r="Y13" t="str">
        <f t="shared" si="1"/>
        <v>Atteint</v>
      </c>
    </row>
    <row r="14" spans="1:25" x14ac:dyDescent="0.2">
      <c r="A14" t="s">
        <v>57</v>
      </c>
      <c r="H14">
        <v>1</v>
      </c>
      <c r="I14">
        <v>1</v>
      </c>
      <c r="L14">
        <v>1</v>
      </c>
      <c r="T14">
        <v>1</v>
      </c>
      <c r="X14">
        <f t="shared" si="0"/>
        <v>4</v>
      </c>
      <c r="Y14" t="str">
        <f t="shared" si="1"/>
        <v>Atteint</v>
      </c>
    </row>
    <row r="15" spans="1:25" x14ac:dyDescent="0.2">
      <c r="A15" t="s">
        <v>41</v>
      </c>
      <c r="T15">
        <v>1</v>
      </c>
      <c r="X15">
        <f t="shared" si="0"/>
        <v>1</v>
      </c>
      <c r="Y15" t="str">
        <f t="shared" si="1"/>
        <v>Sous objectif</v>
      </c>
    </row>
    <row r="16" spans="1:25" x14ac:dyDescent="0.2">
      <c r="A16" t="s">
        <v>47</v>
      </c>
      <c r="T16">
        <v>1</v>
      </c>
      <c r="X16">
        <f t="shared" si="0"/>
        <v>1</v>
      </c>
      <c r="Y16" t="str">
        <f t="shared" si="1"/>
        <v>Sous objectif</v>
      </c>
    </row>
    <row r="17" spans="1:25" x14ac:dyDescent="0.2">
      <c r="A17" t="s">
        <v>55</v>
      </c>
      <c r="T17">
        <v>1</v>
      </c>
      <c r="X17">
        <f t="shared" si="0"/>
        <v>1</v>
      </c>
      <c r="Y17" t="str">
        <f t="shared" si="1"/>
        <v>Sous objectif</v>
      </c>
    </row>
    <row r="18" spans="1:25" x14ac:dyDescent="0.2">
      <c r="A18" t="s">
        <v>52</v>
      </c>
      <c r="C18">
        <v>1</v>
      </c>
      <c r="E18">
        <v>1</v>
      </c>
      <c r="J18">
        <v>1</v>
      </c>
      <c r="L18">
        <v>1</v>
      </c>
      <c r="O18">
        <v>1</v>
      </c>
      <c r="T18">
        <v>1</v>
      </c>
      <c r="W18">
        <v>1</v>
      </c>
      <c r="X18">
        <f t="shared" si="0"/>
        <v>7</v>
      </c>
      <c r="Y18" t="str">
        <f t="shared" si="1"/>
        <v>Atteint</v>
      </c>
    </row>
    <row r="19" spans="1:25" x14ac:dyDescent="0.2">
      <c r="A19" t="s">
        <v>44</v>
      </c>
      <c r="F19">
        <v>1</v>
      </c>
      <c r="I19">
        <v>1</v>
      </c>
      <c r="L19">
        <v>1</v>
      </c>
      <c r="O19">
        <v>1</v>
      </c>
      <c r="T19">
        <v>1</v>
      </c>
      <c r="X19">
        <f t="shared" si="0"/>
        <v>5</v>
      </c>
      <c r="Y19" t="str">
        <f t="shared" si="1"/>
        <v>Atteint</v>
      </c>
    </row>
    <row r="20" spans="1:25" x14ac:dyDescent="0.2">
      <c r="A20" t="s">
        <v>46</v>
      </c>
      <c r="B20">
        <v>1</v>
      </c>
      <c r="G20">
        <v>1</v>
      </c>
      <c r="N20">
        <v>1</v>
      </c>
      <c r="T20">
        <v>1</v>
      </c>
      <c r="X20">
        <f t="shared" si="0"/>
        <v>4</v>
      </c>
      <c r="Y20" t="str">
        <f t="shared" si="1"/>
        <v>Atteint</v>
      </c>
    </row>
    <row r="21" spans="1:25" x14ac:dyDescent="0.2">
      <c r="A21" t="s">
        <v>38</v>
      </c>
      <c r="F21">
        <v>1</v>
      </c>
      <c r="M21">
        <v>1</v>
      </c>
      <c r="O21">
        <v>1</v>
      </c>
      <c r="T21">
        <v>1</v>
      </c>
      <c r="X21">
        <f t="shared" si="0"/>
        <v>4</v>
      </c>
      <c r="Y21" t="str">
        <f t="shared" si="1"/>
        <v>Atteint</v>
      </c>
    </row>
    <row r="22" spans="1:25" x14ac:dyDescent="0.2">
      <c r="A22" t="s">
        <v>39</v>
      </c>
      <c r="M22">
        <v>1</v>
      </c>
      <c r="X22">
        <f t="shared" si="0"/>
        <v>1</v>
      </c>
      <c r="Y22" t="str">
        <f t="shared" si="1"/>
        <v>Sous objectif</v>
      </c>
    </row>
    <row r="23" spans="1:25" x14ac:dyDescent="0.2">
      <c r="A23" t="s">
        <v>35</v>
      </c>
      <c r="T23">
        <v>1</v>
      </c>
      <c r="X23">
        <f t="shared" si="0"/>
        <v>1</v>
      </c>
      <c r="Y23" t="str">
        <f t="shared" si="1"/>
        <v>Sous objectif</v>
      </c>
    </row>
    <row r="24" spans="1:25" x14ac:dyDescent="0.2">
      <c r="A24" t="s">
        <v>42</v>
      </c>
      <c r="R24">
        <v>1</v>
      </c>
      <c r="T24">
        <v>1</v>
      </c>
      <c r="V24">
        <v>1</v>
      </c>
      <c r="W24">
        <v>1</v>
      </c>
      <c r="X24">
        <f t="shared" si="0"/>
        <v>4</v>
      </c>
      <c r="Y24" t="str">
        <f t="shared" si="1"/>
        <v>Atteint</v>
      </c>
    </row>
    <row r="25" spans="1:25" x14ac:dyDescent="0.2">
      <c r="A25" t="s">
        <v>45</v>
      </c>
      <c r="T25">
        <v>1</v>
      </c>
      <c r="X25">
        <f t="shared" si="0"/>
        <v>1</v>
      </c>
      <c r="Y25" t="str">
        <f t="shared" si="1"/>
        <v>Sous objectif</v>
      </c>
    </row>
    <row r="26" spans="1:25" x14ac:dyDescent="0.2">
      <c r="A26" t="s">
        <v>53</v>
      </c>
      <c r="X26">
        <f t="shared" si="0"/>
        <v>0</v>
      </c>
      <c r="Y26" t="str">
        <f t="shared" si="1"/>
        <v>Sous objectif</v>
      </c>
    </row>
    <row r="27" spans="1:25" x14ac:dyDescent="0.2">
      <c r="A27" t="s">
        <v>54</v>
      </c>
      <c r="O27">
        <v>1</v>
      </c>
      <c r="T27">
        <v>1</v>
      </c>
      <c r="X27">
        <f t="shared" si="0"/>
        <v>2</v>
      </c>
      <c r="Y27" t="str">
        <f t="shared" si="1"/>
        <v>Atteint</v>
      </c>
    </row>
    <row r="28" spans="1:25" x14ac:dyDescent="0.2">
      <c r="A28" t="s">
        <v>51</v>
      </c>
      <c r="I28">
        <v>1</v>
      </c>
      <c r="M28">
        <v>1</v>
      </c>
      <c r="R28">
        <v>1</v>
      </c>
      <c r="W28">
        <v>1</v>
      </c>
      <c r="X28">
        <f t="shared" si="0"/>
        <v>4</v>
      </c>
      <c r="Y28" t="str">
        <f t="shared" si="1"/>
        <v>Atteint</v>
      </c>
    </row>
    <row r="29" spans="1:25" x14ac:dyDescent="0.2">
      <c r="A29" t="s">
        <v>34</v>
      </c>
      <c r="M29">
        <v>1</v>
      </c>
      <c r="R29">
        <v>1</v>
      </c>
      <c r="T29">
        <v>1</v>
      </c>
      <c r="X29">
        <f t="shared" si="0"/>
        <v>3</v>
      </c>
      <c r="Y29" t="str">
        <f t="shared" si="1"/>
        <v>Atteint</v>
      </c>
    </row>
    <row r="32" spans="1:25" x14ac:dyDescent="0.2">
      <c r="A32" t="s">
        <v>71</v>
      </c>
      <c r="T32" t="s">
        <v>18</v>
      </c>
    </row>
    <row r="33" spans="1:1" x14ac:dyDescent="0.2">
      <c r="A33" t="s">
        <v>65</v>
      </c>
    </row>
    <row r="34" spans="1:1" x14ac:dyDescent="0.2">
      <c r="A34" t="s">
        <v>63</v>
      </c>
    </row>
    <row r="35" spans="1:1" x14ac:dyDescent="0.2">
      <c r="A35" t="s">
        <v>72</v>
      </c>
    </row>
  </sheetData>
  <pageMargins left="0.75" right="0.75" top="1" bottom="1" header="0.511811023622047" footer="0.511811023622047"/>
  <ignoredErrors>
    <ignoredError sqref="A1:Y35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35"/>
  <sheetViews>
    <sheetView tabSelected="1" workbookViewId="0">
      <selection activeCell="I19" sqref="I19"/>
    </sheetView>
  </sheetViews>
  <sheetFormatPr baseColWidth="10" defaultRowHeight="16" x14ac:dyDescent="0.2"/>
  <sheetData>
    <row r="1" spans="1:25" x14ac:dyDescent="0.2">
      <c r="A1" t="s">
        <v>74</v>
      </c>
    </row>
    <row r="3" spans="1:25" x14ac:dyDescent="0.2">
      <c r="A3" t="s">
        <v>30</v>
      </c>
      <c r="B3">
        <v>46113</v>
      </c>
      <c r="C3">
        <v>46114</v>
      </c>
      <c r="D3">
        <v>46115</v>
      </c>
      <c r="E3">
        <v>46118</v>
      </c>
      <c r="F3">
        <v>46119</v>
      </c>
      <c r="G3">
        <v>46120</v>
      </c>
      <c r="H3">
        <v>46121</v>
      </c>
      <c r="I3">
        <v>46122</v>
      </c>
      <c r="J3">
        <v>46125</v>
      </c>
      <c r="K3">
        <v>46126</v>
      </c>
      <c r="L3">
        <v>46127</v>
      </c>
      <c r="M3">
        <v>46128</v>
      </c>
      <c r="N3">
        <v>46129</v>
      </c>
      <c r="O3">
        <v>46132</v>
      </c>
      <c r="P3">
        <v>46133</v>
      </c>
      <c r="Q3">
        <v>46134</v>
      </c>
      <c r="R3">
        <v>46135</v>
      </c>
      <c r="S3">
        <v>46136</v>
      </c>
      <c r="T3">
        <v>46139</v>
      </c>
      <c r="U3">
        <v>46140</v>
      </c>
      <c r="V3">
        <v>46141</v>
      </c>
      <c r="W3">
        <v>46142</v>
      </c>
      <c r="X3" t="s">
        <v>69</v>
      </c>
      <c r="Y3" t="s">
        <v>70</v>
      </c>
    </row>
    <row r="4" spans="1:25" x14ac:dyDescent="0.2">
      <c r="A4" t="s">
        <v>43</v>
      </c>
      <c r="R4">
        <v>1</v>
      </c>
      <c r="X4">
        <f t="shared" ref="X4:X29" si="0">COUNTIF(B4:W4,1)+COUNTIF(B4:W4,"IC")</f>
        <v>1</v>
      </c>
      <c r="Y4" t="str">
        <f t="shared" ref="Y4:Y29" si="1">IF(COUNTIF(B4:W4,"M")&gt;0,"N/A (absence longue)",IF(X4&gt;=2,"Atteint","Sous objectif"))</f>
        <v>Sous objectif</v>
      </c>
    </row>
    <row r="5" spans="1:25" x14ac:dyDescent="0.2">
      <c r="A5" t="s">
        <v>58</v>
      </c>
      <c r="C5" t="s">
        <v>9</v>
      </c>
      <c r="F5" t="s">
        <v>9</v>
      </c>
      <c r="H5" t="s">
        <v>9</v>
      </c>
      <c r="J5" t="s">
        <v>9</v>
      </c>
      <c r="K5" t="s">
        <v>9</v>
      </c>
      <c r="M5" t="s">
        <v>9</v>
      </c>
      <c r="O5" t="s">
        <v>9</v>
      </c>
      <c r="R5" t="s">
        <v>9</v>
      </c>
      <c r="X5">
        <f t="shared" si="0"/>
        <v>8</v>
      </c>
      <c r="Y5" t="str">
        <f t="shared" si="1"/>
        <v>Atteint</v>
      </c>
    </row>
    <row r="6" spans="1:25" x14ac:dyDescent="0.2">
      <c r="A6" t="s">
        <v>40</v>
      </c>
      <c r="R6">
        <v>1</v>
      </c>
      <c r="X6">
        <f t="shared" si="0"/>
        <v>1</v>
      </c>
      <c r="Y6" t="str">
        <f t="shared" si="1"/>
        <v>Sous objectif</v>
      </c>
    </row>
    <row r="7" spans="1:25" x14ac:dyDescent="0.2">
      <c r="A7" t="s">
        <v>50</v>
      </c>
      <c r="K7">
        <v>1</v>
      </c>
      <c r="M7">
        <v>1</v>
      </c>
      <c r="R7">
        <v>1</v>
      </c>
      <c r="X7">
        <f t="shared" si="0"/>
        <v>3</v>
      </c>
      <c r="Y7" t="str">
        <f t="shared" si="1"/>
        <v>Atteint</v>
      </c>
    </row>
    <row r="8" spans="1:25" x14ac:dyDescent="0.2">
      <c r="A8" t="s">
        <v>49</v>
      </c>
      <c r="C8" t="s">
        <v>9</v>
      </c>
      <c r="F8" t="s">
        <v>9</v>
      </c>
      <c r="H8" t="s">
        <v>9</v>
      </c>
      <c r="J8" t="s">
        <v>9</v>
      </c>
      <c r="K8" t="s">
        <v>9</v>
      </c>
      <c r="M8" t="s">
        <v>9</v>
      </c>
      <c r="O8" t="s">
        <v>9</v>
      </c>
      <c r="P8" t="s">
        <v>9</v>
      </c>
      <c r="R8" t="s">
        <v>9</v>
      </c>
      <c r="X8">
        <f t="shared" si="0"/>
        <v>9</v>
      </c>
      <c r="Y8" t="str">
        <f t="shared" si="1"/>
        <v>Atteint</v>
      </c>
    </row>
    <row r="9" spans="1:25" x14ac:dyDescent="0.2">
      <c r="A9" t="s">
        <v>37</v>
      </c>
      <c r="F9">
        <v>1</v>
      </c>
      <c r="R9">
        <v>1</v>
      </c>
      <c r="X9">
        <f t="shared" si="0"/>
        <v>2</v>
      </c>
      <c r="Y9" t="str">
        <f t="shared" si="1"/>
        <v>Atteint</v>
      </c>
    </row>
    <row r="10" spans="1:25" x14ac:dyDescent="0.2">
      <c r="A10" t="s">
        <v>48</v>
      </c>
      <c r="C10">
        <v>1</v>
      </c>
      <c r="R10">
        <v>1</v>
      </c>
      <c r="X10">
        <f t="shared" si="0"/>
        <v>2</v>
      </c>
      <c r="Y10" t="str">
        <f t="shared" si="1"/>
        <v>Atteint</v>
      </c>
    </row>
    <row r="11" spans="1:25" x14ac:dyDescent="0.2">
      <c r="A11" t="s">
        <v>36</v>
      </c>
      <c r="R11">
        <v>1</v>
      </c>
      <c r="X11">
        <f t="shared" si="0"/>
        <v>1</v>
      </c>
      <c r="Y11" t="str">
        <f t="shared" si="1"/>
        <v>Sous objectif</v>
      </c>
    </row>
    <row r="12" spans="1:25" x14ac:dyDescent="0.2">
      <c r="A12" t="s">
        <v>33</v>
      </c>
      <c r="F12">
        <v>1</v>
      </c>
      <c r="S12">
        <v>1</v>
      </c>
      <c r="X12">
        <f t="shared" si="0"/>
        <v>2</v>
      </c>
      <c r="Y12" t="str">
        <f t="shared" si="1"/>
        <v>Atteint</v>
      </c>
    </row>
    <row r="13" spans="1:25" x14ac:dyDescent="0.2">
      <c r="A13" t="s">
        <v>56</v>
      </c>
      <c r="M13">
        <v>1</v>
      </c>
      <c r="R13">
        <v>1</v>
      </c>
      <c r="X13">
        <f t="shared" si="0"/>
        <v>2</v>
      </c>
      <c r="Y13" t="str">
        <f t="shared" si="1"/>
        <v>Atteint</v>
      </c>
    </row>
    <row r="14" spans="1:25" x14ac:dyDescent="0.2">
      <c r="A14" t="s">
        <v>57</v>
      </c>
      <c r="F14">
        <v>1</v>
      </c>
      <c r="R14">
        <v>1</v>
      </c>
      <c r="X14">
        <f t="shared" si="0"/>
        <v>2</v>
      </c>
      <c r="Y14" t="str">
        <f t="shared" si="1"/>
        <v>Atteint</v>
      </c>
    </row>
    <row r="15" spans="1:25" x14ac:dyDescent="0.2">
      <c r="A15" t="s">
        <v>41</v>
      </c>
      <c r="F15">
        <v>1</v>
      </c>
      <c r="O15" t="s">
        <v>9</v>
      </c>
      <c r="Q15" t="s">
        <v>9</v>
      </c>
      <c r="X15">
        <f t="shared" si="0"/>
        <v>3</v>
      </c>
      <c r="Y15" t="str">
        <f t="shared" si="1"/>
        <v>Atteint</v>
      </c>
    </row>
    <row r="16" spans="1:25" x14ac:dyDescent="0.2">
      <c r="A16" t="s">
        <v>47</v>
      </c>
      <c r="F16">
        <v>1</v>
      </c>
      <c r="R16">
        <v>1</v>
      </c>
      <c r="X16">
        <f t="shared" si="0"/>
        <v>2</v>
      </c>
      <c r="Y16" t="str">
        <f t="shared" si="1"/>
        <v>Atteint</v>
      </c>
    </row>
    <row r="17" spans="1:25" x14ac:dyDescent="0.2">
      <c r="A17" t="s">
        <v>55</v>
      </c>
      <c r="F17">
        <v>1</v>
      </c>
      <c r="R17">
        <v>1</v>
      </c>
      <c r="X17">
        <f t="shared" si="0"/>
        <v>2</v>
      </c>
      <c r="Y17" t="str">
        <f t="shared" si="1"/>
        <v>Atteint</v>
      </c>
    </row>
    <row r="18" spans="1:25" x14ac:dyDescent="0.2">
      <c r="A18" t="s">
        <v>52</v>
      </c>
      <c r="H18">
        <v>1</v>
      </c>
      <c r="K18">
        <v>1</v>
      </c>
      <c r="M18">
        <v>1</v>
      </c>
      <c r="R18">
        <v>1</v>
      </c>
      <c r="X18">
        <f t="shared" si="0"/>
        <v>4</v>
      </c>
      <c r="Y18" t="str">
        <f t="shared" si="1"/>
        <v>Atteint</v>
      </c>
    </row>
    <row r="19" spans="1:25" x14ac:dyDescent="0.2">
      <c r="A19" t="s">
        <v>44</v>
      </c>
      <c r="J19">
        <v>1</v>
      </c>
      <c r="L19">
        <v>1</v>
      </c>
      <c r="R19">
        <v>1</v>
      </c>
      <c r="X19">
        <f t="shared" si="0"/>
        <v>3</v>
      </c>
      <c r="Y19" t="str">
        <f t="shared" si="1"/>
        <v>Atteint</v>
      </c>
    </row>
    <row r="20" spans="1:25" x14ac:dyDescent="0.2">
      <c r="A20" t="s">
        <v>46</v>
      </c>
      <c r="H20">
        <v>1</v>
      </c>
      <c r="L20">
        <v>1</v>
      </c>
      <c r="R20">
        <v>1</v>
      </c>
      <c r="X20">
        <f t="shared" si="0"/>
        <v>3</v>
      </c>
      <c r="Y20" t="str">
        <f t="shared" si="1"/>
        <v>Atteint</v>
      </c>
    </row>
    <row r="21" spans="1:25" x14ac:dyDescent="0.2">
      <c r="A21" t="s">
        <v>38</v>
      </c>
      <c r="F21">
        <v>1</v>
      </c>
      <c r="J21">
        <v>1</v>
      </c>
      <c r="R21">
        <v>1</v>
      </c>
      <c r="X21">
        <f t="shared" si="0"/>
        <v>3</v>
      </c>
      <c r="Y21" t="str">
        <f t="shared" si="1"/>
        <v>Atteint</v>
      </c>
    </row>
    <row r="22" spans="1:25" x14ac:dyDescent="0.2">
      <c r="A22" t="s">
        <v>39</v>
      </c>
      <c r="M22">
        <v>1</v>
      </c>
      <c r="R22">
        <v>1</v>
      </c>
      <c r="X22">
        <f t="shared" si="0"/>
        <v>2</v>
      </c>
      <c r="Y22" t="str">
        <f t="shared" si="1"/>
        <v>Atteint</v>
      </c>
    </row>
    <row r="23" spans="1:25" x14ac:dyDescent="0.2">
      <c r="A23" t="s">
        <v>35</v>
      </c>
      <c r="M23">
        <v>1</v>
      </c>
      <c r="R23">
        <v>1</v>
      </c>
      <c r="X23">
        <f t="shared" si="0"/>
        <v>2</v>
      </c>
      <c r="Y23" t="str">
        <f t="shared" si="1"/>
        <v>Atteint</v>
      </c>
    </row>
    <row r="24" spans="1:25" x14ac:dyDescent="0.2">
      <c r="A24" t="s">
        <v>42</v>
      </c>
      <c r="C24" t="s">
        <v>9</v>
      </c>
      <c r="R24">
        <v>1</v>
      </c>
      <c r="X24">
        <f t="shared" si="0"/>
        <v>2</v>
      </c>
      <c r="Y24" t="str">
        <f t="shared" si="1"/>
        <v>Atteint</v>
      </c>
    </row>
    <row r="25" spans="1:25" x14ac:dyDescent="0.2">
      <c r="A25" t="s">
        <v>45</v>
      </c>
      <c r="J25">
        <v>1</v>
      </c>
      <c r="R25">
        <v>1</v>
      </c>
      <c r="X25">
        <f t="shared" si="0"/>
        <v>2</v>
      </c>
      <c r="Y25" t="str">
        <f t="shared" si="1"/>
        <v>Atteint</v>
      </c>
    </row>
    <row r="26" spans="1:25" x14ac:dyDescent="0.2">
      <c r="A26" t="s">
        <v>53</v>
      </c>
      <c r="R26">
        <v>1</v>
      </c>
      <c r="X26">
        <f t="shared" si="0"/>
        <v>1</v>
      </c>
      <c r="Y26" t="str">
        <f t="shared" si="1"/>
        <v>Sous objectif</v>
      </c>
    </row>
    <row r="27" spans="1:25" x14ac:dyDescent="0.2">
      <c r="A27" t="s">
        <v>54</v>
      </c>
      <c r="R27">
        <v>1</v>
      </c>
      <c r="X27">
        <f t="shared" si="0"/>
        <v>1</v>
      </c>
      <c r="Y27" t="str">
        <f t="shared" si="1"/>
        <v>Sous objectif</v>
      </c>
    </row>
    <row r="28" spans="1:25" x14ac:dyDescent="0.2">
      <c r="A28" t="s">
        <v>51</v>
      </c>
      <c r="F28">
        <v>1</v>
      </c>
      <c r="K28">
        <v>1</v>
      </c>
      <c r="R28">
        <v>1</v>
      </c>
      <c r="X28">
        <f t="shared" si="0"/>
        <v>3</v>
      </c>
      <c r="Y28" t="str">
        <f t="shared" si="1"/>
        <v>Atteint</v>
      </c>
    </row>
    <row r="29" spans="1:25" x14ac:dyDescent="0.2">
      <c r="A29" t="s">
        <v>34</v>
      </c>
      <c r="F29">
        <v>1</v>
      </c>
      <c r="K29">
        <v>1</v>
      </c>
      <c r="P29">
        <v>1</v>
      </c>
      <c r="R29">
        <v>1</v>
      </c>
      <c r="X29">
        <f t="shared" si="0"/>
        <v>4</v>
      </c>
      <c r="Y29" t="str">
        <f t="shared" si="1"/>
        <v>Atteint</v>
      </c>
    </row>
    <row r="32" spans="1:25" x14ac:dyDescent="0.2">
      <c r="A32" t="s">
        <v>71</v>
      </c>
      <c r="R32" t="s">
        <v>18</v>
      </c>
    </row>
    <row r="33" spans="1:1" x14ac:dyDescent="0.2">
      <c r="A33" t="s">
        <v>65</v>
      </c>
    </row>
    <row r="34" spans="1:1" x14ac:dyDescent="0.2">
      <c r="A34" t="s">
        <v>63</v>
      </c>
    </row>
    <row r="35" spans="1:1" x14ac:dyDescent="0.2">
      <c r="A35" t="s">
        <v>72</v>
      </c>
    </row>
  </sheetData>
  <pageMargins left="0.75" right="0.75" top="1" bottom="1" header="0.511811023622047" footer="0.511811023622047"/>
  <ignoredErrors>
    <ignoredError sqref="A1:Y11 A13:Y35 A12:R12 T12:Y12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7"/>
  <sheetViews>
    <sheetView workbookViewId="0"/>
  </sheetViews>
  <sheetFormatPr baseColWidth="10" defaultRowHeight="16" x14ac:dyDescent="0.2"/>
  <sheetData>
    <row r="1" spans="1:6" x14ac:dyDescent="0.2">
      <c r="A1" s="2" t="s">
        <v>75</v>
      </c>
      <c r="B1" s="2"/>
      <c r="C1" s="2"/>
      <c r="D1" s="2"/>
      <c r="E1" s="2"/>
      <c r="F1" s="2"/>
    </row>
    <row r="3" spans="1:6" x14ac:dyDescent="0.2">
      <c r="A3" s="2" t="s">
        <v>76</v>
      </c>
      <c r="B3" s="2"/>
      <c r="C3" s="2"/>
      <c r="D3" s="2"/>
      <c r="E3" s="2"/>
      <c r="F3" s="2"/>
    </row>
    <row r="5" spans="1:6" x14ac:dyDescent="0.2">
      <c r="A5" s="2" t="s">
        <v>77</v>
      </c>
      <c r="B5" s="2"/>
      <c r="C5" s="2"/>
      <c r="D5" s="2"/>
      <c r="E5" s="2"/>
      <c r="F5" s="2"/>
    </row>
    <row r="7" spans="1:6" x14ac:dyDescent="0.2">
      <c r="A7" t="s">
        <v>60</v>
      </c>
      <c r="B7" t="s">
        <v>78</v>
      </c>
      <c r="C7" t="s">
        <v>79</v>
      </c>
      <c r="D7" t="s">
        <v>30</v>
      </c>
      <c r="E7" t="s">
        <v>80</v>
      </c>
      <c r="F7" t="s">
        <v>81</v>
      </c>
    </row>
  </sheetData>
  <mergeCells count="3">
    <mergeCell ref="A1:F1"/>
    <mergeCell ref="A3:F3"/>
    <mergeCell ref="A5:F5"/>
  </mergeCells>
  <pageMargins left="0.75" right="0.75" top="1" bottom="1" header="0.511811023622047" footer="0.511811023622047"/>
  <ignoredErrors>
    <ignoredError sqref="A1:F7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0"/>
  <sheetViews>
    <sheetView workbookViewId="0"/>
  </sheetViews>
  <sheetFormatPr baseColWidth="10" defaultRowHeight="16" x14ac:dyDescent="0.2"/>
  <sheetData>
    <row r="1" spans="1:8" x14ac:dyDescent="0.2">
      <c r="A1" s="2" t="s">
        <v>82</v>
      </c>
      <c r="B1" s="2"/>
      <c r="C1" s="2"/>
      <c r="D1" s="2"/>
      <c r="E1" s="2"/>
      <c r="F1" s="2"/>
      <c r="G1" s="2"/>
      <c r="H1" s="2"/>
    </row>
    <row r="3" spans="1:8" x14ac:dyDescent="0.2">
      <c r="A3" s="2" t="s">
        <v>83</v>
      </c>
      <c r="B3" s="2"/>
      <c r="C3" s="2"/>
      <c r="D3" s="2"/>
      <c r="E3" s="2"/>
      <c r="F3" s="2"/>
      <c r="G3" s="2"/>
      <c r="H3" s="2"/>
    </row>
    <row r="5" spans="1:8" x14ac:dyDescent="0.2">
      <c r="A5" t="s">
        <v>84</v>
      </c>
      <c r="B5" t="s">
        <v>85</v>
      </c>
      <c r="C5" t="s">
        <v>86</v>
      </c>
      <c r="D5" t="s">
        <v>87</v>
      </c>
      <c r="E5" t="s">
        <v>88</v>
      </c>
      <c r="F5" t="s">
        <v>89</v>
      </c>
      <c r="G5" t="s">
        <v>90</v>
      </c>
    </row>
    <row r="6" spans="1:8" x14ac:dyDescent="0.2">
      <c r="A6" t="s">
        <v>91</v>
      </c>
      <c r="B6">
        <f>COUNTIF('Saisie 2026-02'!W4:W29,"Atteint")+COUNTIF('Saisie 2026-02'!W4:W29,"Sous objectif")</f>
        <v>24</v>
      </c>
      <c r="C6">
        <f>SUM('Saisie 2026-02'!V4:V29)</f>
        <v>73</v>
      </c>
      <c r="D6">
        <f>IFERROR(COUNTIF('Saisie 2026-02'!W4:W29,"Atteint")/(COUNTIF('Saisie 2026-02'!W4:W29,"Atteint")+COUNTIF('Saisie 2026-02'!W4:W29,"Sous objectif")),0)</f>
        <v>0.58333333333333337</v>
      </c>
      <c r="E6">
        <f>IFERROR(SUM('Saisie 2026-02'!V4:V29)/(COUNTIF('Saisie 2026-02'!W4:W29,"Atteint")+COUNTIF('Saisie 2026-02'!W4:W29,"Sous objectif")),0)</f>
        <v>3.0416666666666665</v>
      </c>
      <c r="F6">
        <f>COUNTIF('Saisie 2026-02'!V4:V29,"&gt;=1")</f>
        <v>20</v>
      </c>
      <c r="G6" t="s">
        <v>92</v>
      </c>
    </row>
    <row r="7" spans="1:8" x14ac:dyDescent="0.2">
      <c r="A7" t="s">
        <v>93</v>
      </c>
      <c r="B7">
        <f>COUNTIF('Saisie 2026-03'!Y4:Y29,"Atteint")+COUNTIF('Saisie 2026-03'!Y4:Y29,"Sous objectif")</f>
        <v>25</v>
      </c>
      <c r="C7">
        <f>SUM('Saisie 2026-03'!X4:X29)</f>
        <v>72</v>
      </c>
      <c r="D7">
        <f>IFERROR(COUNTIF('Saisie 2026-03'!Y4:Y29,"Atteint")/(COUNTIF('Saisie 2026-03'!Y4:Y29,"Atteint")+COUNTIF('Saisie 2026-03'!Y4:Y29,"Sous objectif")),0)</f>
        <v>0.6</v>
      </c>
      <c r="E7">
        <f>IFERROR(SUM('Saisie 2026-03'!X4:X29)/(COUNTIF('Saisie 2026-03'!Y4:Y29,"Atteint")+COUNTIF('Saisie 2026-03'!Y4:Y29,"Sous objectif")),0)</f>
        <v>2.88</v>
      </c>
      <c r="F7">
        <f>COUNTIF('Saisie 2026-03'!X4:X29,"&gt;=1")</f>
        <v>23</v>
      </c>
      <c r="G7" t="s">
        <v>92</v>
      </c>
    </row>
    <row r="8" spans="1:8" x14ac:dyDescent="0.2">
      <c r="A8" t="s">
        <v>94</v>
      </c>
      <c r="B8">
        <f>COUNTIF('Saisie 2026-04'!Y4:Y29,"Atteint")+COUNTIF('Saisie 2026-04'!Y4:Y29,"Sous objectif")</f>
        <v>26</v>
      </c>
      <c r="C8">
        <f>SUM('Saisie 2026-04'!X4:X29)</f>
        <v>70</v>
      </c>
      <c r="D8">
        <f>IFERROR(COUNTIF('Saisie 2026-04'!Y4:Y29,"Atteint")/(COUNTIF('Saisie 2026-04'!Y4:Y29,"Atteint")+COUNTIF('Saisie 2026-04'!Y4:Y29,"Sous objectif")),0)</f>
        <v>0.80769230769230771</v>
      </c>
      <c r="E8">
        <f>IFERROR(SUM('Saisie 2026-04'!X4:X29)/(COUNTIF('Saisie 2026-04'!Y4:Y29,"Atteint")+COUNTIF('Saisie 2026-04'!Y4:Y29,"Sous objectif")),0)</f>
        <v>2.6923076923076925</v>
      </c>
      <c r="F8">
        <f>COUNTIF('Saisie 2026-04'!X4:X29,"&gt;=1")</f>
        <v>26</v>
      </c>
      <c r="G8" t="s">
        <v>92</v>
      </c>
    </row>
    <row r="10" spans="1:8" x14ac:dyDescent="0.2">
      <c r="A10" t="s">
        <v>95</v>
      </c>
      <c r="B10">
        <f>AVERAGE(B6:B8)</f>
        <v>25</v>
      </c>
      <c r="C10">
        <f>AVERAGE(C6:C8)</f>
        <v>71.666666666666671</v>
      </c>
      <c r="D10">
        <f>AVERAGE(D6:D8)</f>
        <v>0.66367521367521365</v>
      </c>
      <c r="E10">
        <f>AVERAGE(E6:E8)</f>
        <v>2.8713247863247866</v>
      </c>
      <c r="F10">
        <f>AVERAGE(F6:F8)</f>
        <v>23</v>
      </c>
    </row>
  </sheetData>
  <mergeCells count="2">
    <mergeCell ref="A1:H1"/>
    <mergeCell ref="A3:H3"/>
  </mergeCells>
  <pageMargins left="0.75" right="0.75" top="1" bottom="1" header="0.511811023622047" footer="0.511811023622047"/>
  <ignoredErrors>
    <ignoredError sqref="A1:H10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31"/>
  <sheetViews>
    <sheetView workbookViewId="0"/>
  </sheetViews>
  <sheetFormatPr baseColWidth="10" defaultRowHeight="16" x14ac:dyDescent="0.2"/>
  <sheetData>
    <row r="1" spans="1:6" x14ac:dyDescent="0.2">
      <c r="A1" s="2" t="s">
        <v>96</v>
      </c>
      <c r="B1" s="2"/>
      <c r="C1" s="2"/>
      <c r="D1" s="2"/>
      <c r="E1" s="2"/>
      <c r="F1" s="2"/>
    </row>
    <row r="3" spans="1:6" x14ac:dyDescent="0.2">
      <c r="A3" s="2" t="s">
        <v>97</v>
      </c>
      <c r="B3" s="2"/>
      <c r="C3" s="2"/>
      <c r="D3" s="2"/>
      <c r="E3" s="2"/>
      <c r="F3" s="2"/>
    </row>
    <row r="5" spans="1:6" x14ac:dyDescent="0.2">
      <c r="A5" t="s">
        <v>30</v>
      </c>
      <c r="B5" t="s">
        <v>98</v>
      </c>
      <c r="C5" t="s">
        <v>93</v>
      </c>
      <c r="D5" t="s">
        <v>99</v>
      </c>
      <c r="E5" t="s">
        <v>100</v>
      </c>
      <c r="F5" t="s">
        <v>101</v>
      </c>
    </row>
    <row r="6" spans="1:6" x14ac:dyDescent="0.2">
      <c r="A6" t="s">
        <v>43</v>
      </c>
      <c r="B6">
        <f>IF('Saisie 2026-02'!W4="N/A (absence longue)","M",'Saisie 2026-02'!V4)</f>
        <v>3</v>
      </c>
      <c r="C6">
        <f>IF('Saisie 2026-03'!Y4="N/A (absence longue)","M",'Saisie 2026-03'!X4)</f>
        <v>3</v>
      </c>
      <c r="D6">
        <f>IF('Saisie 2026-04'!Y4="N/A (absence longue)","M",'Saisie 2026-04'!X4)</f>
        <v>1</v>
      </c>
      <c r="E6">
        <f t="shared" ref="E6:E31" si="0">COUNTIF(B6:D6,"&gt;=2")</f>
        <v>2</v>
      </c>
      <c r="F6" t="str">
        <f t="shared" ref="F6:F31" si="1">IF(E6=3,"3/3 ✓",IF(E6=2,"2/3",IF(E6=1,"1/3 ⚠",IF(E6=0,"0/3 ⚠⚠","-"))))</f>
        <v>2/3</v>
      </c>
    </row>
    <row r="7" spans="1:6" x14ac:dyDescent="0.2">
      <c r="A7" t="s">
        <v>58</v>
      </c>
      <c r="B7" t="str">
        <f>IF('Saisie 2026-02'!W5="N/A (absence longue)","M",'Saisie 2026-02'!V5)</f>
        <v>M</v>
      </c>
      <c r="C7" t="str">
        <f>IF('Saisie 2026-03'!Y5="N/A (absence longue)","M",'Saisie 2026-03'!X5)</f>
        <v>M</v>
      </c>
      <c r="D7">
        <f>IF('Saisie 2026-04'!Y5="N/A (absence longue)","M",'Saisie 2026-04'!X5)</f>
        <v>8</v>
      </c>
      <c r="E7">
        <f t="shared" si="0"/>
        <v>1</v>
      </c>
      <c r="F7" t="str">
        <f t="shared" si="1"/>
        <v>1/3 ⚠</v>
      </c>
    </row>
    <row r="8" spans="1:6" x14ac:dyDescent="0.2">
      <c r="A8" t="s">
        <v>40</v>
      </c>
      <c r="B8">
        <f>IF('Saisie 2026-02'!W6="N/A (absence longue)","M",'Saisie 2026-02'!V6)</f>
        <v>1</v>
      </c>
      <c r="C8">
        <f>IF('Saisie 2026-03'!Y6="N/A (absence longue)","M",'Saisie 2026-03'!X6)</f>
        <v>0</v>
      </c>
      <c r="D8">
        <f>IF('Saisie 2026-04'!Y6="N/A (absence longue)","M",'Saisie 2026-04'!X6)</f>
        <v>1</v>
      </c>
      <c r="E8">
        <f t="shared" si="0"/>
        <v>0</v>
      </c>
      <c r="F8" t="str">
        <f t="shared" si="1"/>
        <v>0/3 ⚠⚠</v>
      </c>
    </row>
    <row r="9" spans="1:6" x14ac:dyDescent="0.2">
      <c r="A9" t="s">
        <v>50</v>
      </c>
      <c r="B9">
        <f>IF('Saisie 2026-02'!W7="N/A (absence longue)","M",'Saisie 2026-02'!V7)</f>
        <v>5</v>
      </c>
      <c r="C9">
        <f>IF('Saisie 2026-03'!Y7="N/A (absence longue)","M",'Saisie 2026-03'!X7)</f>
        <v>6</v>
      </c>
      <c r="D9">
        <f>IF('Saisie 2026-04'!Y7="N/A (absence longue)","M",'Saisie 2026-04'!X7)</f>
        <v>3</v>
      </c>
      <c r="E9">
        <f t="shared" si="0"/>
        <v>3</v>
      </c>
      <c r="F9" t="str">
        <f t="shared" si="1"/>
        <v>3/3 ✓</v>
      </c>
    </row>
    <row r="10" spans="1:6" x14ac:dyDescent="0.2">
      <c r="A10" t="s">
        <v>49</v>
      </c>
      <c r="B10">
        <f>IF('Saisie 2026-02'!W8="N/A (absence longue)","M",'Saisie 2026-02'!V8)</f>
        <v>11</v>
      </c>
      <c r="C10">
        <f>IF('Saisie 2026-03'!Y8="N/A (absence longue)","M",'Saisie 2026-03'!X8)</f>
        <v>12</v>
      </c>
      <c r="D10">
        <f>IF('Saisie 2026-04'!Y8="N/A (absence longue)","M",'Saisie 2026-04'!X8)</f>
        <v>9</v>
      </c>
      <c r="E10">
        <f t="shared" si="0"/>
        <v>3</v>
      </c>
      <c r="F10" t="str">
        <f t="shared" si="1"/>
        <v>3/3 ✓</v>
      </c>
    </row>
    <row r="11" spans="1:6" x14ac:dyDescent="0.2">
      <c r="A11" t="s">
        <v>37</v>
      </c>
      <c r="B11">
        <f>IF('Saisie 2026-02'!W9="N/A (absence longue)","M",'Saisie 2026-02'!V9)</f>
        <v>1</v>
      </c>
      <c r="C11">
        <f>IF('Saisie 2026-03'!Y9="N/A (absence longue)","M",'Saisie 2026-03'!X9)</f>
        <v>1</v>
      </c>
      <c r="D11">
        <f>IF('Saisie 2026-04'!Y9="N/A (absence longue)","M",'Saisie 2026-04'!X9)</f>
        <v>2</v>
      </c>
      <c r="E11">
        <f t="shared" si="0"/>
        <v>1</v>
      </c>
      <c r="F11" t="str">
        <f t="shared" si="1"/>
        <v>1/3 ⚠</v>
      </c>
    </row>
    <row r="12" spans="1:6" x14ac:dyDescent="0.2">
      <c r="A12" t="s">
        <v>48</v>
      </c>
      <c r="B12">
        <f>IF('Saisie 2026-02'!W10="N/A (absence longue)","M",'Saisie 2026-02'!V10)</f>
        <v>0</v>
      </c>
      <c r="C12">
        <f>IF('Saisie 2026-03'!Y10="N/A (absence longue)","M",'Saisie 2026-03'!X10)</f>
        <v>2</v>
      </c>
      <c r="D12">
        <f>IF('Saisie 2026-04'!Y10="N/A (absence longue)","M",'Saisie 2026-04'!X10)</f>
        <v>2</v>
      </c>
      <c r="E12">
        <f t="shared" si="0"/>
        <v>2</v>
      </c>
      <c r="F12" t="str">
        <f t="shared" si="1"/>
        <v>2/3</v>
      </c>
    </row>
    <row r="13" spans="1:6" x14ac:dyDescent="0.2">
      <c r="A13" t="s">
        <v>36</v>
      </c>
      <c r="B13">
        <f>IF('Saisie 2026-02'!W11="N/A (absence longue)","M",'Saisie 2026-02'!V11)</f>
        <v>4</v>
      </c>
      <c r="C13">
        <f>IF('Saisie 2026-03'!Y11="N/A (absence longue)","M",'Saisie 2026-03'!X11)</f>
        <v>1</v>
      </c>
      <c r="D13">
        <f>IF('Saisie 2026-04'!Y11="N/A (absence longue)","M",'Saisie 2026-04'!X11)</f>
        <v>1</v>
      </c>
      <c r="E13">
        <f t="shared" si="0"/>
        <v>1</v>
      </c>
      <c r="F13" t="str">
        <f t="shared" si="1"/>
        <v>1/3 ⚠</v>
      </c>
    </row>
    <row r="14" spans="1:6" x14ac:dyDescent="0.2">
      <c r="A14" t="s">
        <v>33</v>
      </c>
      <c r="B14">
        <f>IF('Saisie 2026-02'!W12="N/A (absence longue)","M",'Saisie 2026-02'!V12)</f>
        <v>0</v>
      </c>
      <c r="C14">
        <f>IF('Saisie 2026-03'!Y12="N/A (absence longue)","M",'Saisie 2026-03'!X12)</f>
        <v>2</v>
      </c>
      <c r="D14">
        <f>IF('Saisie 2026-04'!Y12="N/A (absence longue)","M",'Saisie 2026-04'!X12)</f>
        <v>2</v>
      </c>
      <c r="E14">
        <f t="shared" si="0"/>
        <v>2</v>
      </c>
      <c r="F14" t="str">
        <f t="shared" si="1"/>
        <v>2/3</v>
      </c>
    </row>
    <row r="15" spans="1:6" x14ac:dyDescent="0.2">
      <c r="A15" t="s">
        <v>56</v>
      </c>
      <c r="B15">
        <f>IF('Saisie 2026-02'!W13="N/A (absence longue)","M",'Saisie 2026-02'!V13)</f>
        <v>3</v>
      </c>
      <c r="C15">
        <f>IF('Saisie 2026-03'!Y13="N/A (absence longue)","M",'Saisie 2026-03'!X13)</f>
        <v>2</v>
      </c>
      <c r="D15">
        <f>IF('Saisie 2026-04'!Y13="N/A (absence longue)","M",'Saisie 2026-04'!X13)</f>
        <v>2</v>
      </c>
      <c r="E15">
        <f t="shared" si="0"/>
        <v>3</v>
      </c>
      <c r="F15" t="str">
        <f t="shared" si="1"/>
        <v>3/3 ✓</v>
      </c>
    </row>
    <row r="16" spans="1:6" x14ac:dyDescent="0.2">
      <c r="A16" t="s">
        <v>57</v>
      </c>
      <c r="B16">
        <f>IF('Saisie 2026-02'!W14="N/A (absence longue)","M",'Saisie 2026-02'!V14)</f>
        <v>3</v>
      </c>
      <c r="C16">
        <f>IF('Saisie 2026-03'!Y14="N/A (absence longue)","M",'Saisie 2026-03'!X14)</f>
        <v>4</v>
      </c>
      <c r="D16">
        <f>IF('Saisie 2026-04'!Y14="N/A (absence longue)","M",'Saisie 2026-04'!X14)</f>
        <v>2</v>
      </c>
      <c r="E16">
        <f t="shared" si="0"/>
        <v>3</v>
      </c>
      <c r="F16" t="str">
        <f t="shared" si="1"/>
        <v>3/3 ✓</v>
      </c>
    </row>
    <row r="17" spans="1:6" x14ac:dyDescent="0.2">
      <c r="A17" t="s">
        <v>41</v>
      </c>
      <c r="B17">
        <f>IF('Saisie 2026-02'!W15="N/A (absence longue)","M",'Saisie 2026-02'!V15)</f>
        <v>0</v>
      </c>
      <c r="C17">
        <f>IF('Saisie 2026-03'!Y15="N/A (absence longue)","M",'Saisie 2026-03'!X15)</f>
        <v>1</v>
      </c>
      <c r="D17">
        <f>IF('Saisie 2026-04'!Y15="N/A (absence longue)","M",'Saisie 2026-04'!X15)</f>
        <v>3</v>
      </c>
      <c r="E17">
        <f t="shared" si="0"/>
        <v>1</v>
      </c>
      <c r="F17" t="str">
        <f t="shared" si="1"/>
        <v>1/3 ⚠</v>
      </c>
    </row>
    <row r="18" spans="1:6" x14ac:dyDescent="0.2">
      <c r="A18" t="s">
        <v>47</v>
      </c>
      <c r="B18">
        <f>IF('Saisie 2026-02'!W16="N/A (absence longue)","M",'Saisie 2026-02'!V16)</f>
        <v>3</v>
      </c>
      <c r="C18">
        <f>IF('Saisie 2026-03'!Y16="N/A (absence longue)","M",'Saisie 2026-03'!X16)</f>
        <v>1</v>
      </c>
      <c r="D18">
        <f>IF('Saisie 2026-04'!Y16="N/A (absence longue)","M",'Saisie 2026-04'!X16)</f>
        <v>2</v>
      </c>
      <c r="E18">
        <f t="shared" si="0"/>
        <v>2</v>
      </c>
      <c r="F18" t="str">
        <f t="shared" si="1"/>
        <v>2/3</v>
      </c>
    </row>
    <row r="19" spans="1:6" x14ac:dyDescent="0.2">
      <c r="A19" t="s">
        <v>55</v>
      </c>
      <c r="B19">
        <f>IF('Saisie 2026-02'!W17="N/A (absence longue)","M",'Saisie 2026-02'!V17)</f>
        <v>1</v>
      </c>
      <c r="C19">
        <f>IF('Saisie 2026-03'!Y17="N/A (absence longue)","M",'Saisie 2026-03'!X17)</f>
        <v>1</v>
      </c>
      <c r="D19">
        <f>IF('Saisie 2026-04'!Y17="N/A (absence longue)","M",'Saisie 2026-04'!X17)</f>
        <v>2</v>
      </c>
      <c r="E19">
        <f t="shared" si="0"/>
        <v>1</v>
      </c>
      <c r="F19" t="str">
        <f t="shared" si="1"/>
        <v>1/3 ⚠</v>
      </c>
    </row>
    <row r="20" spans="1:6" x14ac:dyDescent="0.2">
      <c r="A20" t="s">
        <v>52</v>
      </c>
      <c r="B20">
        <f>IF('Saisie 2026-02'!W18="N/A (absence longue)","M",'Saisie 2026-02'!V18)</f>
        <v>8</v>
      </c>
      <c r="C20">
        <f>IF('Saisie 2026-03'!Y18="N/A (absence longue)","M",'Saisie 2026-03'!X18)</f>
        <v>7</v>
      </c>
      <c r="D20">
        <f>IF('Saisie 2026-04'!Y18="N/A (absence longue)","M",'Saisie 2026-04'!X18)</f>
        <v>4</v>
      </c>
      <c r="E20">
        <f t="shared" si="0"/>
        <v>3</v>
      </c>
      <c r="F20" t="str">
        <f t="shared" si="1"/>
        <v>3/3 ✓</v>
      </c>
    </row>
    <row r="21" spans="1:6" x14ac:dyDescent="0.2">
      <c r="A21" t="s">
        <v>44</v>
      </c>
      <c r="B21">
        <f>IF('Saisie 2026-02'!W19="N/A (absence longue)","M",'Saisie 2026-02'!V19)</f>
        <v>2</v>
      </c>
      <c r="C21">
        <f>IF('Saisie 2026-03'!Y19="N/A (absence longue)","M",'Saisie 2026-03'!X19)</f>
        <v>5</v>
      </c>
      <c r="D21">
        <f>IF('Saisie 2026-04'!Y19="N/A (absence longue)","M",'Saisie 2026-04'!X19)</f>
        <v>3</v>
      </c>
      <c r="E21">
        <f t="shared" si="0"/>
        <v>3</v>
      </c>
      <c r="F21" t="str">
        <f t="shared" si="1"/>
        <v>3/3 ✓</v>
      </c>
    </row>
    <row r="22" spans="1:6" x14ac:dyDescent="0.2">
      <c r="A22" t="s">
        <v>46</v>
      </c>
      <c r="B22">
        <f>IF('Saisie 2026-02'!W20="N/A (absence longue)","M",'Saisie 2026-02'!V20)</f>
        <v>2</v>
      </c>
      <c r="C22">
        <f>IF('Saisie 2026-03'!Y20="N/A (absence longue)","M",'Saisie 2026-03'!X20)</f>
        <v>4</v>
      </c>
      <c r="D22">
        <f>IF('Saisie 2026-04'!Y20="N/A (absence longue)","M",'Saisie 2026-04'!X20)</f>
        <v>3</v>
      </c>
      <c r="E22">
        <f t="shared" si="0"/>
        <v>3</v>
      </c>
      <c r="F22" t="str">
        <f t="shared" si="1"/>
        <v>3/3 ✓</v>
      </c>
    </row>
    <row r="23" spans="1:6" x14ac:dyDescent="0.2">
      <c r="A23" t="s">
        <v>38</v>
      </c>
      <c r="B23">
        <f>IF('Saisie 2026-02'!W21="N/A (absence longue)","M",'Saisie 2026-02'!V21)</f>
        <v>2</v>
      </c>
      <c r="C23">
        <f>IF('Saisie 2026-03'!Y21="N/A (absence longue)","M",'Saisie 2026-03'!X21)</f>
        <v>4</v>
      </c>
      <c r="D23">
        <f>IF('Saisie 2026-04'!Y21="N/A (absence longue)","M",'Saisie 2026-04'!X21)</f>
        <v>3</v>
      </c>
      <c r="E23">
        <f t="shared" si="0"/>
        <v>3</v>
      </c>
      <c r="F23" t="str">
        <f t="shared" si="1"/>
        <v>3/3 ✓</v>
      </c>
    </row>
    <row r="24" spans="1:6" x14ac:dyDescent="0.2">
      <c r="A24" t="s">
        <v>39</v>
      </c>
      <c r="B24">
        <f>IF('Saisie 2026-02'!W22="N/A (absence longue)","M",'Saisie 2026-02'!V22)</f>
        <v>2</v>
      </c>
      <c r="C24">
        <f>IF('Saisie 2026-03'!Y22="N/A (absence longue)","M",'Saisie 2026-03'!X22)</f>
        <v>1</v>
      </c>
      <c r="D24">
        <f>IF('Saisie 2026-04'!Y22="N/A (absence longue)","M",'Saisie 2026-04'!X22)</f>
        <v>2</v>
      </c>
      <c r="E24">
        <f t="shared" si="0"/>
        <v>2</v>
      </c>
      <c r="F24" t="str">
        <f t="shared" si="1"/>
        <v>2/3</v>
      </c>
    </row>
    <row r="25" spans="1:6" x14ac:dyDescent="0.2">
      <c r="A25" t="s">
        <v>35</v>
      </c>
      <c r="B25">
        <f>IF('Saisie 2026-02'!W23="N/A (absence longue)","M",'Saisie 2026-02'!V23)</f>
        <v>1</v>
      </c>
      <c r="C25">
        <f>IF('Saisie 2026-03'!Y23="N/A (absence longue)","M",'Saisie 2026-03'!X23)</f>
        <v>1</v>
      </c>
      <c r="D25">
        <f>IF('Saisie 2026-04'!Y23="N/A (absence longue)","M",'Saisie 2026-04'!X23)</f>
        <v>2</v>
      </c>
      <c r="E25">
        <f t="shared" si="0"/>
        <v>1</v>
      </c>
      <c r="F25" t="str">
        <f t="shared" si="1"/>
        <v>1/3 ⚠</v>
      </c>
    </row>
    <row r="26" spans="1:6" x14ac:dyDescent="0.2">
      <c r="A26" t="s">
        <v>42</v>
      </c>
      <c r="B26">
        <f>IF('Saisie 2026-02'!W24="N/A (absence longue)","M",'Saisie 2026-02'!V24)</f>
        <v>11</v>
      </c>
      <c r="C26">
        <f>IF('Saisie 2026-03'!Y24="N/A (absence longue)","M",'Saisie 2026-03'!X24)</f>
        <v>4</v>
      </c>
      <c r="D26">
        <f>IF('Saisie 2026-04'!Y24="N/A (absence longue)","M",'Saisie 2026-04'!X24)</f>
        <v>2</v>
      </c>
      <c r="E26">
        <f t="shared" si="0"/>
        <v>3</v>
      </c>
      <c r="F26" t="str">
        <f t="shared" si="1"/>
        <v>3/3 ✓</v>
      </c>
    </row>
    <row r="27" spans="1:6" x14ac:dyDescent="0.2">
      <c r="A27" t="s">
        <v>45</v>
      </c>
      <c r="B27">
        <f>IF('Saisie 2026-02'!W25="N/A (absence longue)","M",'Saisie 2026-02'!V25)</f>
        <v>1</v>
      </c>
      <c r="C27">
        <f>IF('Saisie 2026-03'!Y25="N/A (absence longue)","M",'Saisie 2026-03'!X25)</f>
        <v>1</v>
      </c>
      <c r="D27">
        <f>IF('Saisie 2026-04'!Y25="N/A (absence longue)","M",'Saisie 2026-04'!X25)</f>
        <v>2</v>
      </c>
      <c r="E27">
        <f t="shared" si="0"/>
        <v>1</v>
      </c>
      <c r="F27" t="str">
        <f t="shared" si="1"/>
        <v>1/3 ⚠</v>
      </c>
    </row>
    <row r="28" spans="1:6" x14ac:dyDescent="0.2">
      <c r="A28" t="s">
        <v>53</v>
      </c>
      <c r="B28">
        <f>IF('Saisie 2026-02'!W26="N/A (absence longue)","M",'Saisie 2026-02'!V26)</f>
        <v>5</v>
      </c>
      <c r="C28">
        <f>IF('Saisie 2026-03'!Y26="N/A (absence longue)","M",'Saisie 2026-03'!X26)</f>
        <v>0</v>
      </c>
      <c r="D28">
        <f>IF('Saisie 2026-04'!Y26="N/A (absence longue)","M",'Saisie 2026-04'!X26)</f>
        <v>1</v>
      </c>
      <c r="E28">
        <f t="shared" si="0"/>
        <v>1</v>
      </c>
      <c r="F28" t="str">
        <f t="shared" si="1"/>
        <v>1/3 ⚠</v>
      </c>
    </row>
    <row r="29" spans="1:6" x14ac:dyDescent="0.2">
      <c r="A29" t="s">
        <v>54</v>
      </c>
      <c r="B29">
        <f>IF('Saisie 2026-02'!W27="N/A (absence longue)","M",'Saisie 2026-02'!V27)</f>
        <v>4</v>
      </c>
      <c r="C29">
        <f>IF('Saisie 2026-03'!Y27="N/A (absence longue)","M",'Saisie 2026-03'!X27)</f>
        <v>2</v>
      </c>
      <c r="D29">
        <f>IF('Saisie 2026-04'!Y27="N/A (absence longue)","M",'Saisie 2026-04'!X27)</f>
        <v>1</v>
      </c>
      <c r="E29">
        <f t="shared" si="0"/>
        <v>2</v>
      </c>
      <c r="F29" t="str">
        <f t="shared" si="1"/>
        <v>2/3</v>
      </c>
    </row>
    <row r="30" spans="1:6" x14ac:dyDescent="0.2">
      <c r="A30" t="s">
        <v>51</v>
      </c>
      <c r="B30">
        <f>IF('Saisie 2026-02'!W28="N/A (absence longue)","M",'Saisie 2026-02'!V28)</f>
        <v>0</v>
      </c>
      <c r="C30">
        <f>IF('Saisie 2026-03'!Y28="N/A (absence longue)","M",'Saisie 2026-03'!X28)</f>
        <v>4</v>
      </c>
      <c r="D30">
        <f>IF('Saisie 2026-04'!Y28="N/A (absence longue)","M",'Saisie 2026-04'!X28)</f>
        <v>3</v>
      </c>
      <c r="E30">
        <f t="shared" si="0"/>
        <v>2</v>
      </c>
      <c r="F30" t="str">
        <f t="shared" si="1"/>
        <v>2/3</v>
      </c>
    </row>
    <row r="31" spans="1:6" x14ac:dyDescent="0.2">
      <c r="A31" t="s">
        <v>34</v>
      </c>
      <c r="B31">
        <f>IF('Saisie 2026-02'!W29="N/A (absence longue)","M",'Saisie 2026-02'!V29)</f>
        <v>0</v>
      </c>
      <c r="C31">
        <f>IF('Saisie 2026-03'!Y29="N/A (absence longue)","M",'Saisie 2026-03'!X29)</f>
        <v>3</v>
      </c>
      <c r="D31">
        <f>IF('Saisie 2026-04'!Y29="N/A (absence longue)","M",'Saisie 2026-04'!X29)</f>
        <v>4</v>
      </c>
      <c r="E31">
        <f t="shared" si="0"/>
        <v>2</v>
      </c>
      <c r="F31" t="str">
        <f t="shared" si="1"/>
        <v>2/3</v>
      </c>
    </row>
  </sheetData>
  <mergeCells count="2">
    <mergeCell ref="A1:F1"/>
    <mergeCell ref="A3:F3"/>
  </mergeCells>
  <pageMargins left="0.75" right="0.75" top="1" bottom="1" header="0.511811023622047" footer="0.511811023622047"/>
  <ignoredErrors>
    <ignoredError sqref="A1:F3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Convention</vt:lpstr>
      <vt:lpstr>Référentiel</vt:lpstr>
      <vt:lpstr>Événements</vt:lpstr>
      <vt:lpstr>Saisie 2026-02</vt:lpstr>
      <vt:lpstr>Saisie 2026-03</vt:lpstr>
      <vt:lpstr>Saisie 2026-04</vt:lpstr>
      <vt:lpstr>Log</vt:lpstr>
      <vt:lpstr>Synthèse mensuelle</vt:lpstr>
      <vt:lpstr>Synthèse consultant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Jérémie KIEFFER</cp:lastModifiedBy>
  <cp:revision>0</cp:revision>
  <dcterms:created xsi:type="dcterms:W3CDTF">2026-04-27T09:55:04Z</dcterms:created>
  <dcterms:modified xsi:type="dcterms:W3CDTF">2026-04-28T14:52:43Z</dcterms:modified>
  <dc:language>en-US</dc:language>
</cp:coreProperties>
</file>