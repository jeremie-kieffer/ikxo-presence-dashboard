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vention" state="visible" r:id="rId4"/>
    <sheet sheetId="2" name="Référentiel" state="visible" r:id="rId5"/>
    <sheet sheetId="3" name="Événements" state="visible" r:id="rId6"/>
    <sheet sheetId="4" name="Saisie 2026-02" state="visible" r:id="rId7"/>
    <sheet sheetId="5" name="Saisie 2026-03" state="visible" r:id="rId8"/>
    <sheet sheetId="6" name="Saisie 2026-04" state="visible" r:id="rId9"/>
    <sheet sheetId="7" name="Log" state="visible" r:id="rId10"/>
    <sheet sheetId="8" name="Synthèse mensuelle" state="visible" r:id="rId11"/>
    <sheet sheetId="9" name="Synthèse consultant" state="visible" r:id="rId12"/>
  </sheets>
  <calcPr calcId="171027"/>
</workbook>
</file>

<file path=xl/sharedStrings.xml><?xml version="1.0" encoding="utf-8"?>
<sst xmlns="http://schemas.openxmlformats.org/spreadsheetml/2006/main" count="317" uniqueCount="102">
  <si>
    <t>Convention de saisie — Suivi de présence consultants</t>
  </si>
  <si>
    <t>Ce fichier sert à suivre la présence des consultants au bureau et à mesurer notre OKR (objectif : 2 jours/mois minimum par consultant).</t>
  </si>
  <si>
    <t>Symboles à utiliser dans les onglets de saisie mensuelle</t>
  </si>
  <si>
    <t>Symbole</t>
  </si>
  <si>
    <t>Signification</t>
  </si>
  <si>
    <t>Impact sur le calcul</t>
  </si>
  <si>
    <t>1</t>
  </si>
  <si>
    <t>Présence au bureau</t>
  </si>
  <si>
    <t>Compte dans le total de présences du consultant</t>
  </si>
  <si>
    <t>IC</t>
  </si>
  <si>
    <t>Présence pendant une période d'intercontrat</t>
  </si>
  <si>
    <t>Compte comme une présence dans le total OKR. Permet de visualiser la période d'intercontrat.</t>
  </si>
  <si>
    <t>(vide)</t>
  </si>
  <si>
    <t>Absence par défaut (pas venu, en mission, télétravail, congés courts)</t>
  </si>
  <si>
    <t>Compte comme "non présent" — sous l'objectif si pas assez de "1"</t>
  </si>
  <si>
    <t>M</t>
  </si>
  <si>
    <t>Absence longue : congé maternité/paternité, parental, maladie longue, sabbatique</t>
  </si>
  <si>
    <t>Le consultant est exclu du calcul d'atteinte OKR pour ce mois</t>
  </si>
  <si>
    <t>X</t>
  </si>
  <si>
    <t>Date d'un événement (ligne XO Day, XO Product Day, Séminaire)</t>
  </si>
  <si>
    <t>Permet d'overlay l'événement sur les graphiques</t>
  </si>
  <si>
    <t>Comment utiliser le fichier</t>
  </si>
  <si>
    <t>1. Onglet "Référentiel" : ajoute/retire les consultants au fil des arrivées et départs.</t>
  </si>
  <si>
    <t>2. Onglet "Événements" : déclare en amont les XO Days, XO Product Days et séminaires prévus.</t>
  </si>
  <si>
    <t>3. Onglets "Saisie YYYY-MM" : saisie quotidienne des présences (1 dans la cellule). Crée un nouvel onglet par mois.</t>
  </si>
  <si>
    <t>4. Onglet "Log" : se met à jour automatiquement, pas de saisie manuelle. C'est la source pour le dashboard.</t>
  </si>
  <si>
    <t>5. Onglets "Synthèse" : KPI calculés automatiquement.</t>
  </si>
  <si>
    <t>Note importante</t>
  </si>
  <si>
    <t>Ce fichier est un fichier source. Les données calculées dans les onglets Log et Synthèse alimentent un dashboard externe (web). Ne pas modifier les formules de ces onglets.</t>
  </si>
  <si>
    <t>Référentiel des consultants</t>
  </si>
  <si>
    <t>Consultant</t>
  </si>
  <si>
    <t>Date d'entrée</t>
  </si>
  <si>
    <t>Date de sortie</t>
  </si>
  <si>
    <t>Alexandre Dieulesaint</t>
  </si>
  <si>
    <t>Amandine Ziegler</t>
  </si>
  <si>
    <t>Anthony Mocaer</t>
  </si>
  <si>
    <t>Anthéa Delpuech</t>
  </si>
  <si>
    <t>Axel Charletoux</t>
  </si>
  <si>
    <t>Barnabé Melaine</t>
  </si>
  <si>
    <t>Bertrand Mignot</t>
  </si>
  <si>
    <t>Calixte Bailly</t>
  </si>
  <si>
    <t>Caroline Hamoud</t>
  </si>
  <si>
    <t>Esther Mussot</t>
  </si>
  <si>
    <t>Eva Andrzejewski</t>
  </si>
  <si>
    <t>Florian Le Fur</t>
  </si>
  <si>
    <t>Florian Roudier</t>
  </si>
  <si>
    <t>François L'Hostis</t>
  </si>
  <si>
    <t>Félix Hantraye</t>
  </si>
  <si>
    <t>Geoffroy Debellabre</t>
  </si>
  <si>
    <t>Julien Calvao</t>
  </si>
  <si>
    <t>Laureline Berthou</t>
  </si>
  <si>
    <t>Mathieu Ultsch</t>
  </si>
  <si>
    <t>Matthieu Le Corre</t>
  </si>
  <si>
    <t>Nacim Souni</t>
  </si>
  <si>
    <t>Sandra Tang</t>
  </si>
  <si>
    <t>Simon Kerhyuel</t>
  </si>
  <si>
    <t>Théo Esposito</t>
  </si>
  <si>
    <t>Vincent Girard</t>
  </si>
  <si>
    <t>Zelal Aslan</t>
  </si>
  <si>
    <t>Calendrier des événements collectifs</t>
  </si>
  <si>
    <t>Date</t>
  </si>
  <si>
    <t>Type</t>
  </si>
  <si>
    <t>Libellé / Détail</t>
  </si>
  <si>
    <t>XO Product Day</t>
  </si>
  <si>
    <t>XO Product Day février</t>
  </si>
  <si>
    <t>XO Day</t>
  </si>
  <si>
    <t>XO Day mars</t>
  </si>
  <si>
    <t>XO Day avril</t>
  </si>
  <si>
    <t>Saisie présence — Février 2026</t>
  </si>
  <si>
    <t>Total</t>
  </si>
  <si>
    <t>Statut OKR</t>
  </si>
  <si>
    <t>— Événements —</t>
  </si>
  <si>
    <t>Séminaire</t>
  </si>
  <si>
    <t>Saisie présence — Mars 2026</t>
  </si>
  <si>
    <t>Saisie présence — Avril 2026</t>
  </si>
  <si>
    <t>Log — format long (alimentation automatique)</t>
  </si>
  <si>
    <t>Ce tableau consolide automatiquement les données de tous les onglets de saisie au format long (1 ligne = 1 jour × 1 consultant × 1 statut). C'est ce tableau qui est exporté en CSV pour alimenter le dashboard.</t>
  </si>
  <si>
    <t>Important : ne pas saisir manuellement dans cet onglet. Toute saisie se fait dans les onglets "Saisie YYYY-MM".</t>
  </si>
  <si>
    <t>Année-Mois</t>
  </si>
  <si>
    <t>Jour semaine</t>
  </si>
  <si>
    <t>Statut</t>
  </si>
  <si>
    <t>Source</t>
  </si>
  <si>
    <t>Synthèse mensuelle — KPI agrégés</t>
  </si>
  <si>
    <t>Ces KPI sont calculés automatiquement depuis les onglets de saisie mensuelle.</t>
  </si>
  <si>
    <t>Mois</t>
  </si>
  <si>
    <t>Nb consultants</t>
  </si>
  <si>
    <t>Présences totales</t>
  </si>
  <si>
    <t>Atteinte OKR (%)</t>
  </si>
  <si>
    <t>Moyenne (j)</t>
  </si>
  <si>
    <t>Venus ≥1x</t>
  </si>
  <si>
    <t>Pic du mois</t>
  </si>
  <si>
    <t>Février 2026</t>
  </si>
  <si>
    <t>À calculer manuellement / via dashboard</t>
  </si>
  <si>
    <t>Mars 2026</t>
  </si>
  <si>
    <t>Avril 2026</t>
  </si>
  <si>
    <t>Moyenne T2</t>
  </si>
  <si>
    <t>Synthèse par consultant — vue trimestrielle</t>
  </si>
  <si>
    <t>Vue par consultant : présences et statut OKR par mois, plus régularité sur la période.</t>
  </si>
  <si>
    <t>Févr. 2026</t>
  </si>
  <si>
    <t>Avr. 2026</t>
  </si>
  <si>
    <t>Mois ≥2j</t>
  </si>
  <si>
    <t>Régularité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</si>
</sst>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[$-040C]ddd dd"/>
  </numFmts>
  <fonts count="6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b/>
      <sz val="14"/>
      <name val="Inter"/>
    </font>
    <font>
      <b/>
      <sz val="12"/>
      <name val="Inter"/>
    </font>
    <font>
      <sz val="11"/>
      <name val="Inter"/>
    </font>
    <font>
      <b/>
      <color rgb="FF6B7280"/>
      <sz val="12"/>
      <name val="Inter"/>
    </font>
  </fonts>
  <fills count="7">
    <fill>
      <patternFill patternType="none"/>
    </fill>
    <fill>
      <patternFill patternType="gray125"/>
    </fill>
    <fill>
      <patternFill patternType="solid">
        <fgColor rgb="FFF3F4F6"/>
      </patternFill>
    </fill>
    <fill>
      <patternFill patternType="solid">
        <fgColor rgb="FFD1FAE5"/>
      </patternFill>
    </fill>
    <fill>
      <patternFill patternType="solid">
        <fgColor rgb="FFE5E7EB"/>
      </patternFill>
    </fill>
    <fill>
      <patternFill patternType="solid">
        <fgColor rgb="FFFEF3C7"/>
      </patternFill>
    </fill>
    <fill>
      <patternFill patternType="solid">
        <fgColor rgb="FFE9D5FF"/>
      </patternFill>
    </fill>
  </fills>
  <borders count="4">
    <border>
      <left/>
      <right/>
      <top/>
      <bottom/>
      <diagonal/>
    </border>
    <border>
      <left/>
      <right/>
      <top/>
      <bottom style="thin">
        <color rgb="FFD1D5DB"/>
      </bottom>
      <diagonal/>
    </border>
    <border>
      <left style="medium">
        <color rgb="FF9CA3AF"/>
      </left>
      <right/>
      <top/>
      <bottom style="thin">
        <color rgb="FFD1D5DB"/>
      </bottom>
      <diagonal/>
    </border>
    <border>
      <left style="medium">
        <color rgb="FF9CA3A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165" fontId="3" fillId="2" borderId="1" xfId="0" applyNumberFormat="1" applyFont="1" applyFill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left" vertical="center"/>
    </xf>
    <xf numFmtId="0" fontId="4" fillId="6" borderId="0" xfId="0" applyFont="1" applyFill="1" applyAlignment="1">
      <alignment horizontal="center" vertical="center"/>
    </xf>
  </cellXfs>
  <cellStyles count="1">
    <cellStyle name="Normal" xfId="0" builtinId="0"/>
  </cellStyles>
  <dxfs count="12"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E9D5FF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E9D5FF"/>
        </patternFill>
      </fill>
    </dxf>
    <dxf>
      <fill>
        <patternFill patternType="solid">
          <bgColor rgb="FFD1FAE5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E9D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 zoomScale="100" zoomScaleNormal="100"/>
  </sheetViews>
  <sheetFormatPr customHeight="1"/>
  <sheetData>
    <row r="1" spans="1:3" x14ac:dyDescent="0.25">
      <c r="A1" s="1" t="s">
        <v>0</v>
      </c>
      <c r="B1"/>
      <c r="C1"/>
    </row>
    <row r="3" spans="1:3" x14ac:dyDescent="0.25">
      <c r="A3" s="1" t="s">
        <v>1</v>
      </c>
      <c r="B3"/>
      <c r="C3"/>
    </row>
    <row r="5" spans="1:1" x14ac:dyDescent="0.25">
      <c r="A5" s="1" t="s">
        <v>2</v>
      </c>
    </row>
    <row r="6" spans="1:3" x14ac:dyDescent="0.25">
      <c r="A6" s="1" t="s">
        <v>3</v>
      </c>
      <c r="B6" s="1" t="s">
        <v>4</v>
      </c>
      <c r="C6" s="1" t="s">
        <v>5</v>
      </c>
    </row>
    <row r="7" spans="1:3" x14ac:dyDescent="0.25">
      <c r="A7" s="1" t="s">
        <v>6</v>
      </c>
      <c r="B7" s="1" t="s">
        <v>7</v>
      </c>
      <c r="C7" s="1" t="s">
        <v>8</v>
      </c>
    </row>
    <row r="8" spans="1:3" x14ac:dyDescent="0.25">
      <c r="A8" s="1" t="s">
        <v>9</v>
      </c>
      <c r="B8" s="1" t="s">
        <v>10</v>
      </c>
      <c r="C8" s="1" t="s">
        <v>11</v>
      </c>
    </row>
    <row r="9" spans="1:3" x14ac:dyDescent="0.25">
      <c r="A9" s="1" t="s">
        <v>12</v>
      </c>
      <c r="B9" s="1" t="s">
        <v>13</v>
      </c>
      <c r="C9" s="1" t="s">
        <v>14</v>
      </c>
    </row>
    <row r="10" spans="1:3" x14ac:dyDescent="0.25">
      <c r="A10" s="1" t="s">
        <v>15</v>
      </c>
      <c r="B10" s="1" t="s">
        <v>16</v>
      </c>
      <c r="C10" s="1" t="s">
        <v>17</v>
      </c>
    </row>
    <row r="11" spans="1:3" x14ac:dyDescent="0.25">
      <c r="A11" s="1" t="s">
        <v>18</v>
      </c>
      <c r="B11" s="1" t="s">
        <v>19</v>
      </c>
      <c r="C11" s="1" t="s">
        <v>20</v>
      </c>
    </row>
    <row r="13" spans="1:3" x14ac:dyDescent="0.25">
      <c r="A13" s="1" t="s">
        <v>21</v>
      </c>
      <c r="B13"/>
      <c r="C13"/>
    </row>
    <row r="14" spans="1:3" x14ac:dyDescent="0.25">
      <c r="A14" s="1" t="s">
        <v>22</v>
      </c>
      <c r="B14"/>
      <c r="C14"/>
    </row>
    <row r="15" spans="1:3" x14ac:dyDescent="0.25">
      <c r="A15" s="1" t="s">
        <v>23</v>
      </c>
      <c r="B15"/>
      <c r="C15"/>
    </row>
    <row r="16" spans="1:3" x14ac:dyDescent="0.25">
      <c r="A16" s="1" t="s">
        <v>24</v>
      </c>
      <c r="B16"/>
      <c r="C16"/>
    </row>
    <row r="17" spans="1:3" x14ac:dyDescent="0.25">
      <c r="A17" s="1" t="s">
        <v>25</v>
      </c>
      <c r="B17"/>
      <c r="C17"/>
    </row>
    <row r="18" spans="1:1" x14ac:dyDescent="0.25">
      <c r="A18" s="1" t="s">
        <v>26</v>
      </c>
    </row>
    <row r="21" spans="1:3" x14ac:dyDescent="0.25">
      <c r="A21" s="1" t="s">
        <v>27</v>
      </c>
      <c r="B21"/>
      <c r="C21"/>
    </row>
    <row r="22" spans="1:1" x14ac:dyDescent="0.25">
      <c r="A22" s="1" t="s">
        <v>28</v>
      </c>
    </row>
  </sheetData>
  <mergeCells count="8">
    <mergeCell ref="A1:C1"/>
    <mergeCell ref="A3:C3"/>
    <mergeCell ref="A13:C13"/>
    <mergeCell ref="A14:C14"/>
    <mergeCell ref="A15:C15"/>
    <mergeCell ref="A16:C16"/>
    <mergeCell ref="A17:C17"/>
    <mergeCell ref="A21:C21"/>
  </mergeCells>
  <pageMargins left="0.75" right="0.75" top="1" bottom="1" header="0.511811023622047" footer="0.51181102362204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workbookViewId="0" zoomScale="100" zoomScaleNormal="100"/>
  </sheetViews>
  <sheetFormatPr customHeight="1"/>
  <sheetData>
    <row r="1" spans="1:3" x14ac:dyDescent="0.25">
      <c r="A1" s="1" t="s">
        <v>29</v>
      </c>
      <c r="B1"/>
      <c r="C1"/>
    </row>
    <row r="3" spans="1:3" x14ac:dyDescent="0.25">
      <c r="A3" s="1" t="s">
        <v>30</v>
      </c>
      <c r="B3" s="1" t="s">
        <v>31</v>
      </c>
      <c r="C3" s="1" t="s">
        <v>32</v>
      </c>
    </row>
    <row r="4" spans="1:1" x14ac:dyDescent="0.25">
      <c r="A4" s="1" t="s">
        <v>33</v>
      </c>
    </row>
    <row r="5" spans="1:1" x14ac:dyDescent="0.25">
      <c r="A5" s="1" t="s">
        <v>34</v>
      </c>
    </row>
    <row r="6" spans="1:1" x14ac:dyDescent="0.25">
      <c r="A6" s="1" t="s">
        <v>35</v>
      </c>
    </row>
    <row r="7" spans="1:1" x14ac:dyDescent="0.25">
      <c r="A7" s="1" t="s">
        <v>36</v>
      </c>
    </row>
    <row r="8" spans="1:1" x14ac:dyDescent="0.25">
      <c r="A8" s="1" t="s">
        <v>37</v>
      </c>
    </row>
    <row r="9" spans="1:1" x14ac:dyDescent="0.25">
      <c r="A9" s="1" t="s">
        <v>38</v>
      </c>
    </row>
    <row r="10" spans="1:1" x14ac:dyDescent="0.25">
      <c r="A10" s="1" t="s">
        <v>39</v>
      </c>
    </row>
    <row r="11" spans="1:1" x14ac:dyDescent="0.25">
      <c r="A11" s="1" t="s">
        <v>40</v>
      </c>
    </row>
    <row r="12" spans="1:1" x14ac:dyDescent="0.25">
      <c r="A12" s="1" t="s">
        <v>41</v>
      </c>
    </row>
    <row r="13" spans="1:2" x14ac:dyDescent="0.25">
      <c r="A13" s="1" t="s">
        <v>42</v>
      </c>
      <c r="B13" s="2">
        <v>46082</v>
      </c>
    </row>
    <row r="14" spans="1:1" x14ac:dyDescent="0.25">
      <c r="A14" s="1" t="s">
        <v>43</v>
      </c>
    </row>
    <row r="15" spans="1:1" x14ac:dyDescent="0.25">
      <c r="A15" s="1" t="s">
        <v>44</v>
      </c>
    </row>
    <row r="16" spans="1:1" x14ac:dyDescent="0.25">
      <c r="A16" s="1" t="s">
        <v>45</v>
      </c>
    </row>
    <row r="17" spans="1:1" x14ac:dyDescent="0.25">
      <c r="A17" s="1" t="s">
        <v>46</v>
      </c>
    </row>
    <row r="18" spans="1:1" x14ac:dyDescent="0.25">
      <c r="A18" s="1" t="s">
        <v>47</v>
      </c>
    </row>
    <row r="19" spans="1:1" x14ac:dyDescent="0.25">
      <c r="A19" s="1" t="s">
        <v>48</v>
      </c>
    </row>
    <row r="20" spans="1:1" x14ac:dyDescent="0.25">
      <c r="A20" s="1" t="s">
        <v>49</v>
      </c>
    </row>
    <row r="21" spans="1:1" x14ac:dyDescent="0.25">
      <c r="A21" s="1" t="s">
        <v>50</v>
      </c>
    </row>
    <row r="22" spans="1:1" x14ac:dyDescent="0.25">
      <c r="A22" s="1" t="s">
        <v>51</v>
      </c>
    </row>
    <row r="23" spans="1:1" x14ac:dyDescent="0.25">
      <c r="A23" s="1" t="s">
        <v>52</v>
      </c>
    </row>
    <row r="24" spans="1:1" x14ac:dyDescent="0.25">
      <c r="A24" s="1" t="s">
        <v>53</v>
      </c>
    </row>
    <row r="25" spans="1:1" x14ac:dyDescent="0.25">
      <c r="A25" s="1" t="s">
        <v>54</v>
      </c>
    </row>
    <row r="26" spans="1:1" x14ac:dyDescent="0.25">
      <c r="A26" s="1" t="s">
        <v>55</v>
      </c>
    </row>
    <row r="27" spans="1:1" x14ac:dyDescent="0.25">
      <c r="A27" s="1" t="s">
        <v>56</v>
      </c>
    </row>
    <row r="28" spans="1:1" x14ac:dyDescent="0.25">
      <c r="A28" s="1" t="s">
        <v>57</v>
      </c>
    </row>
    <row r="29" spans="1:1" x14ac:dyDescent="0.25">
      <c r="A29" s="1" t="s">
        <v>58</v>
      </c>
    </row>
  </sheetData>
  <mergeCells count="1">
    <mergeCell ref="A1:C1"/>
  </mergeCells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zoomScale="100" zoomScaleNormal="100"/>
  </sheetViews>
  <sheetFormatPr customHeight="1"/>
  <sheetData>
    <row r="1" spans="1:3" x14ac:dyDescent="0.25">
      <c r="A1" s="1" t="s">
        <v>59</v>
      </c>
      <c r="B1"/>
      <c r="C1"/>
    </row>
    <row r="2" spans="1:1" x14ac:dyDescent="0.25"/>
    <row r="3" spans="1:3" x14ac:dyDescent="0.25">
      <c r="A3" s="1" t="s">
        <v>60</v>
      </c>
      <c r="B3" s="1" t="s">
        <v>61</v>
      </c>
      <c r="C3" s="1" t="s">
        <v>62</v>
      </c>
    </row>
    <row r="4" spans="1:3" x14ac:dyDescent="0.25">
      <c r="A4" s="1">
        <v>46072</v>
      </c>
      <c r="B4" s="1" t="s">
        <v>63</v>
      </c>
      <c r="C4" s="1" t="s">
        <v>64</v>
      </c>
    </row>
    <row r="5" spans="1:3" x14ac:dyDescent="0.25">
      <c r="A5" s="1">
        <v>46107</v>
      </c>
      <c r="B5" s="1" t="s">
        <v>65</v>
      </c>
      <c r="C5" s="1" t="s">
        <v>66</v>
      </c>
    </row>
    <row r="6" spans="1:3" x14ac:dyDescent="0.25">
      <c r="A6" s="1">
        <v>46135</v>
      </c>
      <c r="B6" s="1" t="s">
        <v>65</v>
      </c>
      <c r="C6" s="1" t="s">
        <v>67</v>
      </c>
    </row>
  </sheetData>
  <mergeCells count="1">
    <mergeCell ref="A1:C1"/>
  </mergeCells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2" width="8" customWidth="1"/>
    <col min="23" max="23" width="18" customWidth="1"/>
  </cols>
  <sheetData>
    <row r="1" ht="22" customHeight="1" spans="1:23" x14ac:dyDescent="0.25">
      <c r="A1" s="3" t="s">
        <v>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3" ht="22" customHeight="1" spans="1:23" x14ac:dyDescent="0.25">
      <c r="A3" s="4" t="s">
        <v>30</v>
      </c>
      <c r="B3" s="5">
        <v>46055</v>
      </c>
      <c r="C3" s="5">
        <v>46056</v>
      </c>
      <c r="D3" s="5">
        <v>46057</v>
      </c>
      <c r="E3" s="5">
        <v>46058</v>
      </c>
      <c r="F3" s="5">
        <v>46059</v>
      </c>
      <c r="G3" s="6">
        <v>46062</v>
      </c>
      <c r="H3" s="5">
        <v>46063</v>
      </c>
      <c r="I3" s="5">
        <v>46064</v>
      </c>
      <c r="J3" s="5">
        <v>46065</v>
      </c>
      <c r="K3" s="5">
        <v>46066</v>
      </c>
      <c r="L3" s="6">
        <v>46069</v>
      </c>
      <c r="M3" s="5">
        <v>46070</v>
      </c>
      <c r="N3" s="5">
        <v>46071</v>
      </c>
      <c r="O3" s="5">
        <v>46072</v>
      </c>
      <c r="P3" s="5">
        <v>46073</v>
      </c>
      <c r="Q3" s="6">
        <v>46076</v>
      </c>
      <c r="R3" s="5">
        <v>46077</v>
      </c>
      <c r="S3" s="5">
        <v>46078</v>
      </c>
      <c r="T3" s="5">
        <v>46079</v>
      </c>
      <c r="U3" s="5">
        <v>46080</v>
      </c>
      <c r="V3" s="7" t="s">
        <v>69</v>
      </c>
      <c r="W3" s="8" t="s">
        <v>70</v>
      </c>
    </row>
    <row r="4" ht="18" customHeight="1" spans="1:23" x14ac:dyDescent="0.25">
      <c r="A4" s="9" t="s">
        <v>43</v>
      </c>
      <c r="B4" s="10"/>
      <c r="C4" s="10"/>
      <c r="D4" s="10"/>
      <c r="E4" s="10"/>
      <c r="F4" s="10"/>
      <c r="G4" s="11"/>
      <c r="H4" s="12">
        <v>1</v>
      </c>
      <c r="I4" s="10"/>
      <c r="J4" s="10"/>
      <c r="K4" s="10"/>
      <c r="L4" s="11"/>
      <c r="M4" s="10"/>
      <c r="N4" s="10"/>
      <c r="O4" s="12">
        <v>1</v>
      </c>
      <c r="P4" s="10"/>
      <c r="Q4" s="11"/>
      <c r="R4" s="12">
        <v>1</v>
      </c>
      <c r="S4" s="10"/>
      <c r="T4" s="10"/>
      <c r="U4" s="10"/>
      <c r="V4" s="13">
        <f>COUNTIF(B4:U4,1)+COUNTIF(B4:U4,"IC")</f>
      </c>
      <c r="W4" s="10">
        <f>IF(COUNTIF(B4:U4,"M")&gt;0,"N/A absence longue",IF(V4&gt;=2,"Atteint","Sous objectif"))</f>
      </c>
    </row>
    <row r="5" ht="18" customHeight="1" spans="1:23" x14ac:dyDescent="0.25">
      <c r="A5" s="9" t="s">
        <v>58</v>
      </c>
      <c r="B5" s="14" t="s">
        <v>15</v>
      </c>
      <c r="C5" s="14" t="s">
        <v>15</v>
      </c>
      <c r="D5" s="14" t="s">
        <v>15</v>
      </c>
      <c r="E5" s="14" t="s">
        <v>15</v>
      </c>
      <c r="F5" s="14" t="s">
        <v>15</v>
      </c>
      <c r="G5" s="15" t="s">
        <v>15</v>
      </c>
      <c r="H5" s="14" t="s">
        <v>15</v>
      </c>
      <c r="I5" s="14" t="s">
        <v>15</v>
      </c>
      <c r="J5" s="14" t="s">
        <v>15</v>
      </c>
      <c r="K5" s="14" t="s">
        <v>15</v>
      </c>
      <c r="L5" s="15" t="s">
        <v>15</v>
      </c>
      <c r="M5" s="14" t="s">
        <v>15</v>
      </c>
      <c r="N5" s="14" t="s">
        <v>15</v>
      </c>
      <c r="O5" s="14" t="s">
        <v>15</v>
      </c>
      <c r="P5" s="14" t="s">
        <v>15</v>
      </c>
      <c r="Q5" s="15" t="s">
        <v>15</v>
      </c>
      <c r="R5" s="14" t="s">
        <v>15</v>
      </c>
      <c r="S5" s="14" t="s">
        <v>15</v>
      </c>
      <c r="T5" s="14" t="s">
        <v>15</v>
      </c>
      <c r="U5" s="14" t="s">
        <v>15</v>
      </c>
      <c r="V5" s="13">
        <f>COUNTIF(B5:U5,1)+COUNTIF(B5:U5,"IC")</f>
      </c>
      <c r="W5" s="10">
        <f>IF(COUNTIF(B5:U5,"M")&gt;0,"N/A absence longue",IF(V5&gt;=2,"Atteint","Sous objectif"))</f>
      </c>
    </row>
    <row r="6" ht="18" customHeight="1" spans="1:23" x14ac:dyDescent="0.25">
      <c r="A6" s="9" t="s">
        <v>40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1"/>
      <c r="M6" s="10"/>
      <c r="N6" s="10"/>
      <c r="O6" s="12">
        <v>1</v>
      </c>
      <c r="P6" s="10"/>
      <c r="Q6" s="11"/>
      <c r="R6" s="10"/>
      <c r="S6" s="10"/>
      <c r="T6" s="10"/>
      <c r="U6" s="10"/>
      <c r="V6" s="13">
        <f>COUNTIF(B6:U6,1)+COUNTIF(B6:U6,"IC")</f>
      </c>
      <c r="W6" s="10">
        <f>IF(COUNTIF(B6:U6,"M")&gt;0,"N/A absence longue",IF(V6&gt;=2,"Atteint","Sous objectif"))</f>
      </c>
    </row>
    <row r="7" ht="18" customHeight="1" spans="1:23" x14ac:dyDescent="0.25">
      <c r="A7" s="9" t="s">
        <v>50</v>
      </c>
      <c r="B7" s="10"/>
      <c r="C7" s="12">
        <v>1</v>
      </c>
      <c r="D7" s="10"/>
      <c r="E7" s="12">
        <v>1</v>
      </c>
      <c r="F7" s="10"/>
      <c r="G7" s="11"/>
      <c r="H7" s="10"/>
      <c r="I7" s="10"/>
      <c r="J7" s="12">
        <v>1</v>
      </c>
      <c r="K7" s="10"/>
      <c r="L7" s="11"/>
      <c r="M7" s="10"/>
      <c r="N7" s="10"/>
      <c r="O7" s="12">
        <v>1</v>
      </c>
      <c r="P7" s="10"/>
      <c r="Q7" s="11"/>
      <c r="R7" s="12">
        <v>1</v>
      </c>
      <c r="S7" s="10"/>
      <c r="T7" s="10"/>
      <c r="U7" s="10"/>
      <c r="V7" s="13">
        <f>COUNTIF(B7:U7,1)+COUNTIF(B7:U7,"IC")</f>
      </c>
      <c r="W7" s="10">
        <f>IF(COUNTIF(B7:U7,"M")&gt;0,"N/A absence longue",IF(V7&gt;=2,"Atteint","Sous objectif"))</f>
      </c>
    </row>
    <row r="8" ht="18" customHeight="1" spans="1:23" x14ac:dyDescent="0.25">
      <c r="A8" s="9" t="s">
        <v>49</v>
      </c>
      <c r="B8" s="16" t="s">
        <v>9</v>
      </c>
      <c r="C8" s="16" t="s">
        <v>9</v>
      </c>
      <c r="D8" s="10"/>
      <c r="E8" s="16" t="s">
        <v>9</v>
      </c>
      <c r="F8" s="10"/>
      <c r="G8" s="11"/>
      <c r="H8" s="16" t="s">
        <v>9</v>
      </c>
      <c r="I8" s="16" t="s">
        <v>9</v>
      </c>
      <c r="J8" s="16" t="s">
        <v>9</v>
      </c>
      <c r="K8" s="10"/>
      <c r="L8" s="17" t="s">
        <v>9</v>
      </c>
      <c r="M8" s="16" t="s">
        <v>9</v>
      </c>
      <c r="N8" s="10"/>
      <c r="O8" s="10"/>
      <c r="P8" s="10"/>
      <c r="Q8" s="17" t="s">
        <v>9</v>
      </c>
      <c r="R8" s="16" t="s">
        <v>9</v>
      </c>
      <c r="S8" s="10"/>
      <c r="T8" s="16" t="s">
        <v>9</v>
      </c>
      <c r="U8" s="10"/>
      <c r="V8" s="13">
        <f>COUNTIF(B8:U8,1)+COUNTIF(B8:U8,"IC")</f>
      </c>
      <c r="W8" s="10">
        <f>IF(COUNTIF(B8:U8,"M")&gt;0,"N/A absence longue",IF(V8&gt;=2,"Atteint","Sous objectif"))</f>
      </c>
    </row>
    <row r="9" ht="18" customHeight="1" spans="1:23" x14ac:dyDescent="0.25">
      <c r="A9" s="9" t="s">
        <v>37</v>
      </c>
      <c r="B9" s="10"/>
      <c r="C9" s="10"/>
      <c r="D9" s="10"/>
      <c r="E9" s="10"/>
      <c r="F9" s="10"/>
      <c r="G9" s="11"/>
      <c r="H9" s="10"/>
      <c r="I9" s="10"/>
      <c r="J9" s="10"/>
      <c r="K9" s="10"/>
      <c r="L9" s="11"/>
      <c r="M9" s="10"/>
      <c r="N9" s="10"/>
      <c r="O9" s="12">
        <v>1</v>
      </c>
      <c r="P9" s="10"/>
      <c r="Q9" s="11"/>
      <c r="R9" s="10"/>
      <c r="S9" s="10"/>
      <c r="T9" s="10"/>
      <c r="U9" s="10"/>
      <c r="V9" s="13">
        <f>COUNTIF(B9:U9,1)+COUNTIF(B9:U9,"IC")</f>
      </c>
      <c r="W9" s="10">
        <f>IF(COUNTIF(B9:U9,"M")&gt;0,"N/A absence longue",IF(V9&gt;=2,"Atteint","Sous objectif"))</f>
      </c>
    </row>
    <row r="10" ht="18" customHeight="1" spans="1:23" x14ac:dyDescent="0.25">
      <c r="A10" s="9" t="s">
        <v>52</v>
      </c>
      <c r="B10" s="10"/>
      <c r="C10" s="12">
        <v>1</v>
      </c>
      <c r="D10" s="10"/>
      <c r="E10" s="12">
        <v>1</v>
      </c>
      <c r="F10" s="10"/>
      <c r="G10" s="11"/>
      <c r="H10" s="12">
        <v>1</v>
      </c>
      <c r="I10" s="10"/>
      <c r="J10" s="12">
        <v>1</v>
      </c>
      <c r="K10" s="10"/>
      <c r="L10" s="11"/>
      <c r="M10" s="12">
        <v>1</v>
      </c>
      <c r="N10" s="10"/>
      <c r="O10" s="12">
        <v>1</v>
      </c>
      <c r="P10" s="10"/>
      <c r="Q10" s="11"/>
      <c r="R10" s="12">
        <v>1</v>
      </c>
      <c r="S10" s="10"/>
      <c r="T10" s="12">
        <v>1</v>
      </c>
      <c r="U10" s="10"/>
      <c r="V10" s="13">
        <f>COUNTIF(B10:U10,1)+COUNTIF(B10:U10,"IC")</f>
      </c>
      <c r="W10" s="10">
        <f>IF(COUNTIF(B10:U10,"M")&gt;0,"N/A absence longue",IF(V10&gt;=2,"Atteint","Sous objectif"))</f>
      </c>
    </row>
    <row r="11" ht="18" customHeight="1" spans="1:23" x14ac:dyDescent="0.25">
      <c r="A11" s="9" t="s">
        <v>48</v>
      </c>
      <c r="B11" s="10"/>
      <c r="C11" s="10"/>
      <c r="D11" s="10"/>
      <c r="E11" s="10"/>
      <c r="F11" s="10"/>
      <c r="G11" s="11"/>
      <c r="H11" s="10"/>
      <c r="I11" s="10"/>
      <c r="J11" s="10"/>
      <c r="K11" s="10"/>
      <c r="L11" s="11"/>
      <c r="M11" s="10"/>
      <c r="N11" s="10"/>
      <c r="O11" s="10"/>
      <c r="P11" s="10"/>
      <c r="Q11" s="11"/>
      <c r="R11" s="10"/>
      <c r="S11" s="10"/>
      <c r="T11" s="10"/>
      <c r="U11" s="10"/>
      <c r="V11" s="13">
        <f>COUNTIF(B11:U11,1)+COUNTIF(B11:U11,"IC")</f>
      </c>
      <c r="W11" s="10">
        <f>IF(COUNTIF(B11:U11,"M")&gt;0,"N/A absence longue",IF(V11&gt;=2,"Atteint","Sous objectif"))</f>
      </c>
    </row>
    <row r="12" ht="18" customHeight="1" spans="1:23" x14ac:dyDescent="0.25">
      <c r="A12" s="9" t="s">
        <v>36</v>
      </c>
      <c r="B12" s="12">
        <v>1</v>
      </c>
      <c r="C12" s="12">
        <v>1</v>
      </c>
      <c r="D12" s="10"/>
      <c r="E12" s="12">
        <v>1</v>
      </c>
      <c r="F12" s="10"/>
      <c r="G12" s="11"/>
      <c r="H12" s="10"/>
      <c r="I12" s="10"/>
      <c r="J12" s="10"/>
      <c r="K12" s="10"/>
      <c r="L12" s="11"/>
      <c r="M12" s="10"/>
      <c r="N12" s="10"/>
      <c r="O12" s="10"/>
      <c r="P12" s="10"/>
      <c r="Q12" s="11"/>
      <c r="R12" s="12">
        <v>1</v>
      </c>
      <c r="S12" s="10"/>
      <c r="T12" s="10"/>
      <c r="U12" s="10"/>
      <c r="V12" s="13">
        <f>COUNTIF(B12:U12,1)+COUNTIF(B12:U12,"IC")</f>
      </c>
      <c r="W12" s="10">
        <f>IF(COUNTIF(B12:U12,"M")&gt;0,"N/A absence longue",IF(V12&gt;=2,"Atteint","Sous objectif"))</f>
      </c>
    </row>
    <row r="13" ht="18" customHeight="1" spans="1:23" x14ac:dyDescent="0.25">
      <c r="A13" s="9" t="s">
        <v>33</v>
      </c>
      <c r="B13" s="10"/>
      <c r="C13" s="10"/>
      <c r="D13" s="10"/>
      <c r="E13" s="10"/>
      <c r="F13" s="10"/>
      <c r="G13" s="11"/>
      <c r="H13" s="10"/>
      <c r="I13" s="10"/>
      <c r="J13" s="10"/>
      <c r="K13" s="10"/>
      <c r="L13" s="11"/>
      <c r="M13" s="10"/>
      <c r="N13" s="10"/>
      <c r="O13" s="10"/>
      <c r="P13" s="10"/>
      <c r="Q13" s="11"/>
      <c r="R13" s="10"/>
      <c r="S13" s="10"/>
      <c r="T13" s="10"/>
      <c r="U13" s="10"/>
      <c r="V13" s="13">
        <f>COUNTIF(B13:U13,1)+COUNTIF(B13:U13,"IC")</f>
      </c>
      <c r="W13" s="10">
        <f>IF(COUNTIF(B13:U13,"M")&gt;0,"N/A absence longue",IF(V13&gt;=2,"Atteint","Sous objectif"))</f>
      </c>
    </row>
    <row r="14" ht="18" customHeight="1" spans="1:23" x14ac:dyDescent="0.25">
      <c r="A14" s="9" t="s">
        <v>56</v>
      </c>
      <c r="B14" s="10"/>
      <c r="C14" s="12">
        <v>1</v>
      </c>
      <c r="D14" s="10"/>
      <c r="E14" s="10"/>
      <c r="F14" s="10"/>
      <c r="G14" s="11"/>
      <c r="H14" s="12">
        <v>1</v>
      </c>
      <c r="I14" s="10"/>
      <c r="J14" s="10"/>
      <c r="K14" s="10"/>
      <c r="L14" s="11"/>
      <c r="M14" s="10"/>
      <c r="N14" s="10"/>
      <c r="O14" s="10"/>
      <c r="P14" s="10"/>
      <c r="Q14" s="11"/>
      <c r="R14" s="12">
        <v>1</v>
      </c>
      <c r="S14" s="10"/>
      <c r="T14" s="10"/>
      <c r="U14" s="10"/>
      <c r="V14" s="13">
        <f>COUNTIF(B14:U14,1)+COUNTIF(B14:U14,"IC")</f>
      </c>
      <c r="W14" s="10">
        <f>IF(COUNTIF(B14:U14,"M")&gt;0,"N/A absence longue",IF(V14&gt;=2,"Atteint","Sous objectif"))</f>
      </c>
    </row>
    <row r="15" ht="18" customHeight="1" spans="1:23" x14ac:dyDescent="0.25">
      <c r="A15" s="9" t="s">
        <v>44</v>
      </c>
      <c r="B15" s="10"/>
      <c r="C15" s="10"/>
      <c r="D15" s="10"/>
      <c r="E15" s="10"/>
      <c r="F15" s="10"/>
      <c r="G15" s="11"/>
      <c r="H15" s="12">
        <v>1</v>
      </c>
      <c r="I15" s="10"/>
      <c r="J15" s="10"/>
      <c r="K15" s="10"/>
      <c r="L15" s="11"/>
      <c r="M15" s="10"/>
      <c r="N15" s="10"/>
      <c r="O15" s="12">
        <v>1</v>
      </c>
      <c r="P15" s="10"/>
      <c r="Q15" s="11"/>
      <c r="R15" s="10"/>
      <c r="S15" s="10"/>
      <c r="T15" s="10"/>
      <c r="U15" s="10"/>
      <c r="V15" s="13">
        <f>COUNTIF(B15:U15,1)+COUNTIF(B15:U15,"IC")</f>
      </c>
      <c r="W15" s="10">
        <f>IF(COUNTIF(B15:U15,"M")&gt;0,"N/A absence longue",IF(V15&gt;=2,"Atteint","Sous objectif"))</f>
      </c>
    </row>
    <row r="16" ht="18" customHeight="1" spans="1:23" x14ac:dyDescent="0.25">
      <c r="A16" s="9" t="s">
        <v>57</v>
      </c>
      <c r="B16" s="10"/>
      <c r="C16" s="10"/>
      <c r="D16" s="10"/>
      <c r="E16" s="10"/>
      <c r="F16" s="10"/>
      <c r="G16" s="11"/>
      <c r="H16" s="12">
        <v>1</v>
      </c>
      <c r="I16" s="10"/>
      <c r="J16" s="10"/>
      <c r="K16" s="10"/>
      <c r="L16" s="11"/>
      <c r="M16" s="10"/>
      <c r="N16" s="10"/>
      <c r="O16" s="12">
        <v>1</v>
      </c>
      <c r="P16" s="10"/>
      <c r="Q16" s="11"/>
      <c r="R16" s="12">
        <v>1</v>
      </c>
      <c r="S16" s="10"/>
      <c r="T16" s="10"/>
      <c r="U16" s="10"/>
      <c r="V16" s="13">
        <f>COUNTIF(B16:U16,1)+COUNTIF(B16:U16,"IC")</f>
      </c>
      <c r="W16" s="10">
        <f>IF(COUNTIF(B16:U16,"M")&gt;0,"N/A absence longue",IF(V16&gt;=2,"Atteint","Sous objectif"))</f>
      </c>
    </row>
    <row r="17" ht="18" customHeight="1" spans="1:23" x14ac:dyDescent="0.25">
      <c r="A17" s="9" t="s">
        <v>41</v>
      </c>
      <c r="B17" s="10"/>
      <c r="C17" s="10"/>
      <c r="D17" s="10"/>
      <c r="E17" s="10"/>
      <c r="F17" s="10"/>
      <c r="G17" s="11"/>
      <c r="H17" s="10"/>
      <c r="I17" s="10"/>
      <c r="J17" s="10"/>
      <c r="K17" s="10"/>
      <c r="L17" s="11"/>
      <c r="M17" s="10"/>
      <c r="N17" s="10"/>
      <c r="O17" s="10"/>
      <c r="P17" s="10"/>
      <c r="Q17" s="11"/>
      <c r="R17" s="10"/>
      <c r="S17" s="10"/>
      <c r="T17" s="10"/>
      <c r="U17" s="10"/>
      <c r="V17" s="13">
        <f>COUNTIF(B17:U17,1)+COUNTIF(B17:U17,"IC")</f>
      </c>
      <c r="W17" s="10">
        <f>IF(COUNTIF(B17:U17,"M")&gt;0,"N/A absence longue",IF(V17&gt;=2,"Atteint","Sous objectif"))</f>
      </c>
    </row>
    <row r="18" ht="18" customHeight="1" spans="1:23" x14ac:dyDescent="0.25">
      <c r="A18" s="9" t="s">
        <v>47</v>
      </c>
      <c r="B18" s="10"/>
      <c r="C18" s="10"/>
      <c r="D18" s="10"/>
      <c r="E18" s="10"/>
      <c r="F18" s="10"/>
      <c r="G18" s="11"/>
      <c r="H18" s="12">
        <v>1</v>
      </c>
      <c r="I18" s="10"/>
      <c r="J18" s="10"/>
      <c r="K18" s="10"/>
      <c r="L18" s="11"/>
      <c r="M18" s="12">
        <v>1</v>
      </c>
      <c r="N18" s="10"/>
      <c r="O18" s="12">
        <v>1</v>
      </c>
      <c r="P18" s="10"/>
      <c r="Q18" s="11"/>
      <c r="R18" s="10"/>
      <c r="S18" s="10"/>
      <c r="T18" s="10"/>
      <c r="U18" s="10"/>
      <c r="V18" s="13">
        <f>COUNTIF(B18:U18,1)+COUNTIF(B18:U18,"IC")</f>
      </c>
      <c r="W18" s="10">
        <f>IF(COUNTIF(B18:U18,"M")&gt;0,"N/A absence longue",IF(V18&gt;=2,"Atteint","Sous objectif"))</f>
      </c>
    </row>
    <row r="19" ht="18" customHeight="1" spans="1:23" x14ac:dyDescent="0.25">
      <c r="A19" s="9" t="s">
        <v>55</v>
      </c>
      <c r="B19" s="10"/>
      <c r="C19" s="10"/>
      <c r="D19" s="10"/>
      <c r="E19" s="10"/>
      <c r="F19" s="10"/>
      <c r="G19" s="11"/>
      <c r="H19" s="12">
        <v>1</v>
      </c>
      <c r="I19" s="10"/>
      <c r="J19" s="10"/>
      <c r="K19" s="10"/>
      <c r="L19" s="11"/>
      <c r="M19" s="10"/>
      <c r="N19" s="10"/>
      <c r="O19" s="10"/>
      <c r="P19" s="10"/>
      <c r="Q19" s="11"/>
      <c r="R19" s="10"/>
      <c r="S19" s="10"/>
      <c r="T19" s="10"/>
      <c r="U19" s="10"/>
      <c r="V19" s="13">
        <f>COUNTIF(B19:U19,1)+COUNTIF(B19:U19,"IC")</f>
      </c>
      <c r="W19" s="10">
        <f>IF(COUNTIF(B19:U19,"M")&gt;0,"N/A absence longue",IF(V19&gt;=2,"Atteint","Sous objectif"))</f>
      </c>
    </row>
    <row r="20" ht="18" customHeight="1" spans="1:23" x14ac:dyDescent="0.25">
      <c r="A20" s="9" t="s">
        <v>46</v>
      </c>
      <c r="B20" s="10"/>
      <c r="C20" s="10"/>
      <c r="D20" s="10"/>
      <c r="E20" s="10"/>
      <c r="F20" s="10"/>
      <c r="G20" s="11"/>
      <c r="H20" s="12">
        <v>1</v>
      </c>
      <c r="I20" s="10"/>
      <c r="J20" s="10"/>
      <c r="K20" s="10"/>
      <c r="L20" s="11"/>
      <c r="M20" s="10"/>
      <c r="N20" s="10"/>
      <c r="O20" s="12">
        <v>1</v>
      </c>
      <c r="P20" s="10"/>
      <c r="Q20" s="11"/>
      <c r="R20" s="10"/>
      <c r="S20" s="10"/>
      <c r="T20" s="10"/>
      <c r="U20" s="10"/>
      <c r="V20" s="13">
        <f>COUNTIF(B20:U20,1)+COUNTIF(B20:U20,"IC")</f>
      </c>
      <c r="W20" s="10">
        <f>IF(COUNTIF(B20:U20,"M")&gt;0,"N/A absence longue",IF(V20&gt;=2,"Atteint","Sous objectif"))</f>
      </c>
    </row>
    <row r="21" ht="18" customHeight="1" spans="1:23" x14ac:dyDescent="0.25">
      <c r="A21" s="9" t="s">
        <v>38</v>
      </c>
      <c r="B21" s="10"/>
      <c r="C21" s="10"/>
      <c r="D21" s="10"/>
      <c r="E21" s="10"/>
      <c r="F21" s="10"/>
      <c r="G21" s="11"/>
      <c r="H21" s="12">
        <v>1</v>
      </c>
      <c r="I21" s="10"/>
      <c r="J21" s="10"/>
      <c r="K21" s="10"/>
      <c r="L21" s="11"/>
      <c r="M21" s="10"/>
      <c r="N21" s="10"/>
      <c r="O21" s="12">
        <v>1</v>
      </c>
      <c r="P21" s="10"/>
      <c r="Q21" s="11"/>
      <c r="R21" s="10"/>
      <c r="S21" s="10"/>
      <c r="T21" s="10"/>
      <c r="U21" s="10"/>
      <c r="V21" s="13">
        <f>COUNTIF(B21:U21,1)+COUNTIF(B21:U21,"IC")</f>
      </c>
      <c r="W21" s="10">
        <f>IF(COUNTIF(B21:U21,"M")&gt;0,"N/A absence longue",IF(V21&gt;=2,"Atteint","Sous objectif"))</f>
      </c>
    </row>
    <row r="22" ht="18" customHeight="1" spans="1:23" x14ac:dyDescent="0.25">
      <c r="A22" s="9" t="s">
        <v>39</v>
      </c>
      <c r="B22" s="10"/>
      <c r="C22" s="10"/>
      <c r="D22" s="10"/>
      <c r="E22" s="10"/>
      <c r="F22" s="10"/>
      <c r="G22" s="11"/>
      <c r="H22" s="12">
        <v>1</v>
      </c>
      <c r="I22" s="10"/>
      <c r="J22" s="10"/>
      <c r="K22" s="10"/>
      <c r="L22" s="11"/>
      <c r="M22" s="10"/>
      <c r="N22" s="10"/>
      <c r="O22" s="12">
        <v>1</v>
      </c>
      <c r="P22" s="10"/>
      <c r="Q22" s="11"/>
      <c r="R22" s="10"/>
      <c r="S22" s="10"/>
      <c r="T22" s="10"/>
      <c r="U22" s="10"/>
      <c r="V22" s="13">
        <f>COUNTIF(B22:U22,1)+COUNTIF(B22:U22,"IC")</f>
      </c>
      <c r="W22" s="10">
        <f>IF(COUNTIF(B22:U22,"M")&gt;0,"N/A absence longue",IF(V22&gt;=2,"Atteint","Sous objectif"))</f>
      </c>
    </row>
    <row r="23" ht="18" customHeight="1" spans="1:23" x14ac:dyDescent="0.25">
      <c r="A23" s="9" t="s">
        <v>35</v>
      </c>
      <c r="B23" s="10"/>
      <c r="C23" s="10"/>
      <c r="D23" s="10"/>
      <c r="E23" s="10"/>
      <c r="F23" s="10"/>
      <c r="G23" s="11"/>
      <c r="H23" s="10"/>
      <c r="I23" s="10"/>
      <c r="J23" s="10"/>
      <c r="K23" s="10"/>
      <c r="L23" s="11"/>
      <c r="M23" s="10"/>
      <c r="N23" s="10"/>
      <c r="O23" s="10"/>
      <c r="P23" s="10"/>
      <c r="Q23" s="11"/>
      <c r="R23" s="12">
        <v>1</v>
      </c>
      <c r="S23" s="10"/>
      <c r="T23" s="10"/>
      <c r="U23" s="10"/>
      <c r="V23" s="13">
        <f>COUNTIF(B23:U23,1)+COUNTIF(B23:U23,"IC")</f>
      </c>
      <c r="W23" s="10">
        <f>IF(COUNTIF(B23:U23,"M")&gt;0,"N/A absence longue",IF(V23&gt;=2,"Atteint","Sous objectif"))</f>
      </c>
    </row>
    <row r="24" ht="18" customHeight="1" spans="1:23" x14ac:dyDescent="0.25">
      <c r="A24" s="9" t="s">
        <v>45</v>
      </c>
      <c r="B24" s="10"/>
      <c r="C24" s="10"/>
      <c r="D24" s="10"/>
      <c r="E24" s="10"/>
      <c r="F24" s="10"/>
      <c r="G24" s="11"/>
      <c r="H24" s="10"/>
      <c r="I24" s="10"/>
      <c r="J24" s="10"/>
      <c r="K24" s="10"/>
      <c r="L24" s="11"/>
      <c r="M24" s="10"/>
      <c r="N24" s="10"/>
      <c r="O24" s="10"/>
      <c r="P24" s="10"/>
      <c r="Q24" s="11"/>
      <c r="R24" s="10"/>
      <c r="S24" s="10"/>
      <c r="T24" s="10"/>
      <c r="U24" s="10"/>
      <c r="V24" s="13">
        <f>COUNTIF(B24:U24,1)+COUNTIF(B24:U24,"IC")</f>
      </c>
      <c r="W24" s="10">
        <f>IF(COUNTIF(B24:U24,"M")&gt;0,"N/A absence longue",IF(V24&gt;=2,"Atteint","Sous objectif"))</f>
      </c>
    </row>
    <row r="25" ht="18" customHeight="1" spans="1:23" x14ac:dyDescent="0.25">
      <c r="A25" s="9" t="s">
        <v>53</v>
      </c>
      <c r="B25" s="12">
        <v>1</v>
      </c>
      <c r="C25" s="12">
        <v>1</v>
      </c>
      <c r="D25" s="10"/>
      <c r="E25" s="12">
        <v>1</v>
      </c>
      <c r="F25" s="10"/>
      <c r="G25" s="18">
        <v>1</v>
      </c>
      <c r="H25" s="12">
        <v>1</v>
      </c>
      <c r="I25" s="10"/>
      <c r="J25" s="12">
        <v>1</v>
      </c>
      <c r="K25" s="10"/>
      <c r="L25" s="18">
        <v>1</v>
      </c>
      <c r="M25" s="10"/>
      <c r="N25" s="10"/>
      <c r="O25" s="12">
        <v>1</v>
      </c>
      <c r="P25" s="10"/>
      <c r="Q25" s="18">
        <v>1</v>
      </c>
      <c r="R25" s="12">
        <v>1</v>
      </c>
      <c r="S25" s="10"/>
      <c r="T25" s="12">
        <v>1</v>
      </c>
      <c r="U25" s="10"/>
      <c r="V25" s="13">
        <f>COUNTIF(B25:U25,1)+COUNTIF(B25:U25,"IC")</f>
      </c>
      <c r="W25" s="10">
        <f>IF(COUNTIF(B25:U25,"M")&gt;0,"N/A absence longue",IF(V25&gt;=2,"Atteint","Sous objectif"))</f>
      </c>
    </row>
    <row r="26" ht="18" customHeight="1" spans="1:23" x14ac:dyDescent="0.25">
      <c r="A26" s="9" t="s">
        <v>54</v>
      </c>
      <c r="B26" s="10"/>
      <c r="C26" s="10"/>
      <c r="D26" s="10"/>
      <c r="E26" s="10"/>
      <c r="F26" s="10"/>
      <c r="G26" s="11"/>
      <c r="H26" s="10"/>
      <c r="I26" s="10"/>
      <c r="J26" s="10"/>
      <c r="K26" s="10"/>
      <c r="L26" s="11"/>
      <c r="M26" s="10"/>
      <c r="N26" s="10"/>
      <c r="O26" s="12">
        <v>1</v>
      </c>
      <c r="P26" s="10"/>
      <c r="Q26" s="11"/>
      <c r="R26" s="10"/>
      <c r="S26" s="10"/>
      <c r="T26" s="10"/>
      <c r="U26" s="10"/>
      <c r="V26" s="13">
        <f>COUNTIF(B26:U26,1)+COUNTIF(B26:U26,"IC")</f>
      </c>
      <c r="W26" s="10">
        <f>IF(COUNTIF(B26:U26,"M")&gt;0,"N/A absence longue",IF(V26&gt;=2,"Atteint","Sous objectif"))</f>
      </c>
    </row>
    <row r="27" ht="18" customHeight="1" spans="1:23" x14ac:dyDescent="0.25">
      <c r="A27" s="9" t="s">
        <v>51</v>
      </c>
      <c r="B27" s="10"/>
      <c r="C27" s="12">
        <v>1</v>
      </c>
      <c r="D27" s="10"/>
      <c r="E27" s="10"/>
      <c r="F27" s="10"/>
      <c r="G27" s="11"/>
      <c r="H27" s="12">
        <v>1</v>
      </c>
      <c r="I27" s="10"/>
      <c r="J27" s="10"/>
      <c r="K27" s="10"/>
      <c r="L27" s="11"/>
      <c r="M27" s="12">
        <v>1</v>
      </c>
      <c r="N27" s="10"/>
      <c r="O27" s="12">
        <v>1</v>
      </c>
      <c r="P27" s="10"/>
      <c r="Q27" s="11"/>
      <c r="R27" s="12">
        <v>1</v>
      </c>
      <c r="S27" s="10"/>
      <c r="T27" s="10"/>
      <c r="U27" s="10"/>
      <c r="V27" s="13">
        <f>COUNTIF(B27:U27,1)+COUNTIF(B27:U27,"IC")</f>
      </c>
      <c r="W27" s="10">
        <f>IF(COUNTIF(B27:U27,"M")&gt;0,"N/A absence longue",IF(V27&gt;=2,"Atteint","Sous objectif"))</f>
      </c>
    </row>
    <row r="28" ht="18" customHeight="1" spans="1:23" x14ac:dyDescent="0.25">
      <c r="A28" s="9" t="s">
        <v>34</v>
      </c>
      <c r="B28" s="10"/>
      <c r="C28" s="12">
        <v>1</v>
      </c>
      <c r="D28" s="10"/>
      <c r="E28" s="10"/>
      <c r="F28" s="10"/>
      <c r="G28" s="11"/>
      <c r="H28" s="12">
        <v>1</v>
      </c>
      <c r="I28" s="10"/>
      <c r="J28" s="10"/>
      <c r="K28" s="10"/>
      <c r="L28" s="11"/>
      <c r="M28" s="10"/>
      <c r="N28" s="10"/>
      <c r="O28" s="12">
        <v>1</v>
      </c>
      <c r="P28" s="10"/>
      <c r="Q28" s="11"/>
      <c r="R28" s="12">
        <v>1</v>
      </c>
      <c r="S28" s="10"/>
      <c r="T28" s="10"/>
      <c r="U28" s="10"/>
      <c r="V28" s="13">
        <f>COUNTIF(B28:U28,1)+COUNTIF(B28:U28,"IC")</f>
      </c>
      <c r="W28" s="10">
        <f>IF(COUNTIF(B28:U28,"M")&gt;0,"N/A absence longue",IF(V28&gt;=2,"Atteint","Sous objectif"))</f>
      </c>
    </row>
    <row r="30" spans="1:1" x14ac:dyDescent="0.25">
      <c r="A30" s="19" t="s">
        <v>71</v>
      </c>
    </row>
    <row r="31" spans="1:21" x14ac:dyDescent="0.25">
      <c r="A31" s="20" t="s">
        <v>65</v>
      </c>
      <c r="B31" s="10"/>
      <c r="C31" s="10"/>
      <c r="D31" s="10"/>
      <c r="E31" s="10"/>
      <c r="F31" s="10"/>
      <c r="G31" s="11"/>
      <c r="H31" s="10"/>
      <c r="I31" s="10"/>
      <c r="J31" s="10"/>
      <c r="K31" s="10"/>
      <c r="L31" s="11"/>
      <c r="M31" s="10"/>
      <c r="N31" s="10"/>
      <c r="O31" s="10"/>
      <c r="P31" s="10"/>
      <c r="Q31" s="11"/>
      <c r="R31" s="10"/>
      <c r="S31" s="10"/>
      <c r="T31" s="10"/>
      <c r="U31" s="10"/>
    </row>
    <row r="32" spans="1:21" x14ac:dyDescent="0.25">
      <c r="A32" s="20" t="s">
        <v>63</v>
      </c>
      <c r="B32" s="10"/>
      <c r="C32" s="10"/>
      <c r="D32" s="10"/>
      <c r="E32" s="10"/>
      <c r="F32" s="10"/>
      <c r="G32" s="11"/>
      <c r="H32" s="10"/>
      <c r="I32" s="10"/>
      <c r="J32" s="10"/>
      <c r="K32" s="10"/>
      <c r="L32" s="11"/>
      <c r="M32" s="10"/>
      <c r="N32" s="10"/>
      <c r="O32" s="21" t="s">
        <v>18</v>
      </c>
      <c r="P32" s="10"/>
      <c r="Q32" s="11"/>
      <c r="R32" s="10"/>
      <c r="S32" s="10"/>
      <c r="T32" s="10"/>
      <c r="U32" s="10"/>
    </row>
    <row r="33" spans="1:21" x14ac:dyDescent="0.25">
      <c r="A33" s="20" t="s">
        <v>72</v>
      </c>
      <c r="B33" s="10"/>
      <c r="C33" s="10"/>
      <c r="D33" s="10"/>
      <c r="E33" s="10"/>
      <c r="F33" s="10"/>
      <c r="G33" s="11"/>
      <c r="H33" s="10"/>
      <c r="I33" s="10"/>
      <c r="J33" s="10"/>
      <c r="K33" s="10"/>
      <c r="L33" s="11"/>
      <c r="M33" s="10"/>
      <c r="N33" s="10"/>
      <c r="O33" s="10"/>
      <c r="P33" s="10"/>
      <c r="Q33" s="11"/>
      <c r="R33" s="10"/>
      <c r="S33" s="10"/>
      <c r="T33" s="10"/>
      <c r="U33" s="10"/>
    </row>
  </sheetData>
  <mergeCells count="1">
    <mergeCell ref="A1:W1"/>
  </mergeCells>
  <conditionalFormatting sqref="B4:U28">
    <cfRule type="cellIs" dxfId="0" priority="1" operator="equal">
      <formula>1</formula>
    </cfRule>
    <cfRule type="cellIs" dxfId="1" priority="2" operator="equal">
      <formula>"IC"</formula>
    </cfRule>
    <cfRule type="cellIs" dxfId="2" priority="3" operator="equal">
      <formula>"M"</formula>
    </cfRule>
  </conditionalFormatting>
  <conditionalFormatting sqref="B31:U33">
    <cfRule type="cellIs" dxfId="3" priority="1" operator="equal">
      <formula>"X"</formula>
    </cfRule>
  </conditionalFormatting>
  <dataValidations count="2">
    <dataValidation type="list" allowBlank="1" showErrorMessage="1" errorTitle="Valeur invalide" error="Valeurs autorisées : X ou vide." sqref="B31:U33">
      <formula1>"X"</formula1>
    </dataValidation>
    <dataValidation type="list" allowBlank="1" showErrorMessage="1" errorTitle="Valeur invalide" error="Valeurs autorisées : 1, IC, M ou vide." sqref="B4:U28">
      <formula1>"1,IC,M"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4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4" width="8" customWidth="1"/>
    <col min="25" max="25" width="18" customWidth="1"/>
  </cols>
  <sheetData>
    <row r="1" ht="22" customHeight="1" spans="1:25" x14ac:dyDescent="0.25">
      <c r="A1" s="3" t="s">
        <v>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3" ht="22" customHeight="1" spans="1:25" x14ac:dyDescent="0.25">
      <c r="A3" s="4" t="s">
        <v>30</v>
      </c>
      <c r="B3" s="5">
        <v>46083</v>
      </c>
      <c r="C3" s="5">
        <v>46084</v>
      </c>
      <c r="D3" s="5">
        <v>46085</v>
      </c>
      <c r="E3" s="5">
        <v>46086</v>
      </c>
      <c r="F3" s="5">
        <v>46087</v>
      </c>
      <c r="G3" s="6">
        <v>46090</v>
      </c>
      <c r="H3" s="5">
        <v>46091</v>
      </c>
      <c r="I3" s="5">
        <v>46092</v>
      </c>
      <c r="J3" s="5">
        <v>46093</v>
      </c>
      <c r="K3" s="5">
        <v>46094</v>
      </c>
      <c r="L3" s="6">
        <v>46097</v>
      </c>
      <c r="M3" s="5">
        <v>46098</v>
      </c>
      <c r="N3" s="5">
        <v>46099</v>
      </c>
      <c r="O3" s="5">
        <v>46100</v>
      </c>
      <c r="P3" s="5">
        <v>46101</v>
      </c>
      <c r="Q3" s="6">
        <v>46104</v>
      </c>
      <c r="R3" s="5">
        <v>46105</v>
      </c>
      <c r="S3" s="5">
        <v>46106</v>
      </c>
      <c r="T3" s="5">
        <v>46107</v>
      </c>
      <c r="U3" s="5">
        <v>46108</v>
      </c>
      <c r="V3" s="6">
        <v>46111</v>
      </c>
      <c r="W3" s="5">
        <v>46112</v>
      </c>
      <c r="X3" s="7" t="s">
        <v>69</v>
      </c>
      <c r="Y3" s="8" t="s">
        <v>70</v>
      </c>
    </row>
    <row r="4" ht="18" customHeight="1" spans="1:25" x14ac:dyDescent="0.25">
      <c r="A4" s="9" t="s">
        <v>43</v>
      </c>
      <c r="B4" s="10"/>
      <c r="C4" s="10"/>
      <c r="D4" s="10"/>
      <c r="E4" s="10"/>
      <c r="F4" s="10"/>
      <c r="G4" s="11"/>
      <c r="H4" s="10"/>
      <c r="I4" s="12">
        <v>1</v>
      </c>
      <c r="J4" s="10"/>
      <c r="K4" s="10"/>
      <c r="L4" s="11"/>
      <c r="M4" s="12">
        <v>1</v>
      </c>
      <c r="N4" s="10"/>
      <c r="O4" s="10"/>
      <c r="P4" s="10"/>
      <c r="Q4" s="11"/>
      <c r="R4" s="10"/>
      <c r="S4" s="10"/>
      <c r="T4" s="12">
        <v>1</v>
      </c>
      <c r="U4" s="10"/>
      <c r="V4" s="11"/>
      <c r="W4" s="10"/>
      <c r="X4" s="13">
        <f>COUNTIF(B4:W4,1)+COUNTIF(B4:W4,"IC")</f>
      </c>
      <c r="Y4" s="10">
        <f>IF(COUNTIF(B4:W4,"M")&gt;0,"N/A absence longue",IF(X4&gt;=2,"Atteint","Sous objectif"))</f>
      </c>
    </row>
    <row r="5" ht="18" customHeight="1" spans="1:25" x14ac:dyDescent="0.25">
      <c r="A5" s="9" t="s">
        <v>58</v>
      </c>
      <c r="B5" s="14" t="s">
        <v>15</v>
      </c>
      <c r="C5" s="14" t="s">
        <v>15</v>
      </c>
      <c r="D5" s="14" t="s">
        <v>15</v>
      </c>
      <c r="E5" s="14" t="s">
        <v>15</v>
      </c>
      <c r="F5" s="14" t="s">
        <v>15</v>
      </c>
      <c r="G5" s="15" t="s">
        <v>15</v>
      </c>
      <c r="H5" s="14" t="s">
        <v>15</v>
      </c>
      <c r="I5" s="14" t="s">
        <v>15</v>
      </c>
      <c r="J5" s="14" t="s">
        <v>15</v>
      </c>
      <c r="K5" s="14" t="s">
        <v>15</v>
      </c>
      <c r="L5" s="15" t="s">
        <v>15</v>
      </c>
      <c r="M5" s="14" t="s">
        <v>15</v>
      </c>
      <c r="N5" s="14" t="s">
        <v>15</v>
      </c>
      <c r="O5" s="14" t="s">
        <v>15</v>
      </c>
      <c r="P5" s="14" t="s">
        <v>15</v>
      </c>
      <c r="Q5" s="15" t="s">
        <v>15</v>
      </c>
      <c r="R5" s="14" t="s">
        <v>15</v>
      </c>
      <c r="S5" s="14" t="s">
        <v>15</v>
      </c>
      <c r="T5" s="14" t="s">
        <v>15</v>
      </c>
      <c r="U5" s="14" t="s">
        <v>15</v>
      </c>
      <c r="V5" s="15" t="s">
        <v>15</v>
      </c>
      <c r="W5" s="14" t="s">
        <v>15</v>
      </c>
      <c r="X5" s="13">
        <f>COUNTIF(B5:W5,1)+COUNTIF(B5:W5,"IC")</f>
      </c>
      <c r="Y5" s="10">
        <f>IF(COUNTIF(B5:W5,"M")&gt;0,"N/A absence longue",IF(X5&gt;=2,"Atteint","Sous objectif"))</f>
      </c>
    </row>
    <row r="6" ht="18" customHeight="1" spans="1:25" x14ac:dyDescent="0.25">
      <c r="A6" s="9" t="s">
        <v>40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1"/>
      <c r="M6" s="10"/>
      <c r="N6" s="10"/>
      <c r="O6" s="10"/>
      <c r="P6" s="10"/>
      <c r="Q6" s="11"/>
      <c r="R6" s="10"/>
      <c r="S6" s="10"/>
      <c r="T6" s="10"/>
      <c r="U6" s="10"/>
      <c r="V6" s="11"/>
      <c r="W6" s="10"/>
      <c r="X6" s="13">
        <f>COUNTIF(B6:W6,1)+COUNTIF(B6:W6,"IC")</f>
      </c>
      <c r="Y6" s="10">
        <f>IF(COUNTIF(B6:W6,"M")&gt;0,"N/A absence longue",IF(X6&gt;=2,"Atteint","Sous objectif"))</f>
      </c>
    </row>
    <row r="7" ht="18" customHeight="1" spans="1:25" x14ac:dyDescent="0.25">
      <c r="A7" s="9" t="s">
        <v>50</v>
      </c>
      <c r="B7" s="10"/>
      <c r="C7" s="12">
        <v>1</v>
      </c>
      <c r="D7" s="10"/>
      <c r="E7" s="10"/>
      <c r="F7" s="10"/>
      <c r="G7" s="11"/>
      <c r="H7" s="10"/>
      <c r="I7" s="10"/>
      <c r="J7" s="10"/>
      <c r="K7" s="10"/>
      <c r="L7" s="11"/>
      <c r="M7" s="12">
        <v>1</v>
      </c>
      <c r="N7" s="10"/>
      <c r="O7" s="12">
        <v>1</v>
      </c>
      <c r="P7" s="10"/>
      <c r="Q7" s="11"/>
      <c r="R7" s="12">
        <v>1</v>
      </c>
      <c r="S7" s="10"/>
      <c r="T7" s="12">
        <v>1</v>
      </c>
      <c r="U7" s="10"/>
      <c r="V7" s="11"/>
      <c r="W7" s="12">
        <v>1</v>
      </c>
      <c r="X7" s="13">
        <f>COUNTIF(B7:W7,1)+COUNTIF(B7:W7,"IC")</f>
      </c>
      <c r="Y7" s="10">
        <f>IF(COUNTIF(B7:W7,"M")&gt;0,"N/A absence longue",IF(X7&gt;=2,"Atteint","Sous objectif"))</f>
      </c>
    </row>
    <row r="8" ht="18" customHeight="1" spans="1:25" x14ac:dyDescent="0.25">
      <c r="A8" s="9" t="s">
        <v>49</v>
      </c>
      <c r="B8" s="16" t="s">
        <v>9</v>
      </c>
      <c r="C8" s="16" t="s">
        <v>9</v>
      </c>
      <c r="D8" s="10"/>
      <c r="E8" s="16" t="s">
        <v>9</v>
      </c>
      <c r="F8" s="10"/>
      <c r="G8" s="17" t="s">
        <v>9</v>
      </c>
      <c r="H8" s="10"/>
      <c r="I8" s="16" t="s">
        <v>9</v>
      </c>
      <c r="J8" s="16" t="s">
        <v>9</v>
      </c>
      <c r="K8" s="10"/>
      <c r="L8" s="11"/>
      <c r="M8" s="16" t="s">
        <v>9</v>
      </c>
      <c r="N8" s="10"/>
      <c r="O8" s="16" t="s">
        <v>9</v>
      </c>
      <c r="P8" s="10"/>
      <c r="Q8" s="11"/>
      <c r="R8" s="16" t="s">
        <v>9</v>
      </c>
      <c r="S8" s="10"/>
      <c r="T8" s="16" t="s">
        <v>9</v>
      </c>
      <c r="U8" s="10"/>
      <c r="V8" s="17" t="s">
        <v>9</v>
      </c>
      <c r="W8" s="16" t="s">
        <v>9</v>
      </c>
      <c r="X8" s="13">
        <f>COUNTIF(B8:W8,1)+COUNTIF(B8:W8,"IC")</f>
      </c>
      <c r="Y8" s="10">
        <f>IF(COUNTIF(B8:W8,"M")&gt;0,"N/A absence longue",IF(X8&gt;=2,"Atteint","Sous objectif"))</f>
      </c>
    </row>
    <row r="9" ht="18" customHeight="1" spans="1:25" x14ac:dyDescent="0.25">
      <c r="A9" s="9" t="s">
        <v>37</v>
      </c>
      <c r="B9" s="10"/>
      <c r="C9" s="10"/>
      <c r="D9" s="10"/>
      <c r="E9" s="10"/>
      <c r="F9" s="10"/>
      <c r="G9" s="11"/>
      <c r="H9" s="10"/>
      <c r="I9" s="12">
        <v>1</v>
      </c>
      <c r="J9" s="10"/>
      <c r="K9" s="10"/>
      <c r="L9" s="11"/>
      <c r="M9" s="10"/>
      <c r="N9" s="10"/>
      <c r="O9" s="10"/>
      <c r="P9" s="10"/>
      <c r="Q9" s="11"/>
      <c r="R9" s="10"/>
      <c r="S9" s="10"/>
      <c r="T9" s="10"/>
      <c r="U9" s="10"/>
      <c r="V9" s="11"/>
      <c r="W9" s="10"/>
      <c r="X9" s="13">
        <f>COUNTIF(B9:W9,1)+COUNTIF(B9:W9,"IC")</f>
      </c>
      <c r="Y9" s="10">
        <f>IF(COUNTIF(B9:W9,"M")&gt;0,"N/A absence longue",IF(X9&gt;=2,"Atteint","Sous objectif"))</f>
      </c>
    </row>
    <row r="10" ht="18" customHeight="1" spans="1:25" x14ac:dyDescent="0.25">
      <c r="A10" s="9" t="s">
        <v>52</v>
      </c>
      <c r="B10" s="10"/>
      <c r="C10" s="12">
        <v>1</v>
      </c>
      <c r="D10" s="10"/>
      <c r="E10" s="12">
        <v>1</v>
      </c>
      <c r="F10" s="10"/>
      <c r="G10" s="11"/>
      <c r="H10" s="10"/>
      <c r="I10" s="10"/>
      <c r="J10" s="12">
        <v>1</v>
      </c>
      <c r="K10" s="10"/>
      <c r="L10" s="18">
        <v>1</v>
      </c>
      <c r="M10" s="10"/>
      <c r="N10" s="10"/>
      <c r="O10" s="12">
        <v>1</v>
      </c>
      <c r="P10" s="10"/>
      <c r="Q10" s="11"/>
      <c r="R10" s="10"/>
      <c r="S10" s="10"/>
      <c r="T10" s="12">
        <v>1</v>
      </c>
      <c r="U10" s="10"/>
      <c r="V10" s="11"/>
      <c r="W10" s="12">
        <v>1</v>
      </c>
      <c r="X10" s="13">
        <f>COUNTIF(B10:W10,1)+COUNTIF(B10:W10,"IC")</f>
      </c>
      <c r="Y10" s="10">
        <f>IF(COUNTIF(B10:W10,"M")&gt;0,"N/A absence longue",IF(X10&gt;=2,"Atteint","Sous objectif"))</f>
      </c>
    </row>
    <row r="11" ht="18" customHeight="1" spans="1:25" x14ac:dyDescent="0.25">
      <c r="A11" s="9" t="s">
        <v>48</v>
      </c>
      <c r="B11" s="10"/>
      <c r="C11" s="10"/>
      <c r="D11" s="10"/>
      <c r="E11" s="12">
        <v>1</v>
      </c>
      <c r="F11" s="10"/>
      <c r="G11" s="11"/>
      <c r="H11" s="10"/>
      <c r="I11" s="10"/>
      <c r="J11" s="10"/>
      <c r="K11" s="10"/>
      <c r="L11" s="11"/>
      <c r="M11" s="10"/>
      <c r="N11" s="10"/>
      <c r="O11" s="12">
        <v>1</v>
      </c>
      <c r="P11" s="10"/>
      <c r="Q11" s="11"/>
      <c r="R11" s="10"/>
      <c r="S11" s="10"/>
      <c r="T11" s="10"/>
      <c r="U11" s="10"/>
      <c r="V11" s="11"/>
      <c r="W11" s="10"/>
      <c r="X11" s="13">
        <f>COUNTIF(B11:W11,1)+COUNTIF(B11:W11,"IC")</f>
      </c>
      <c r="Y11" s="10">
        <f>IF(COUNTIF(B11:W11,"M")&gt;0,"N/A absence longue",IF(X11&gt;=2,"Atteint","Sous objectif"))</f>
      </c>
    </row>
    <row r="12" ht="18" customHeight="1" spans="1:25" x14ac:dyDescent="0.25">
      <c r="A12" s="9" t="s">
        <v>36</v>
      </c>
      <c r="B12" s="10"/>
      <c r="C12" s="10"/>
      <c r="D12" s="10"/>
      <c r="E12" s="10"/>
      <c r="F12" s="10"/>
      <c r="G12" s="11"/>
      <c r="H12" s="10"/>
      <c r="I12" s="10"/>
      <c r="J12" s="10"/>
      <c r="K12" s="10"/>
      <c r="L12" s="11"/>
      <c r="M12" s="10"/>
      <c r="N12" s="10"/>
      <c r="O12" s="10"/>
      <c r="P12" s="10"/>
      <c r="Q12" s="11"/>
      <c r="R12" s="10"/>
      <c r="S12" s="10"/>
      <c r="T12" s="12">
        <v>1</v>
      </c>
      <c r="U12" s="10"/>
      <c r="V12" s="11"/>
      <c r="W12" s="10"/>
      <c r="X12" s="13">
        <f>COUNTIF(B12:W12,1)+COUNTIF(B12:W12,"IC")</f>
      </c>
      <c r="Y12" s="10">
        <f>IF(COUNTIF(B12:W12,"M")&gt;0,"N/A absence longue",IF(X12&gt;=2,"Atteint","Sous objectif"))</f>
      </c>
    </row>
    <row r="13" ht="18" customHeight="1" spans="1:25" x14ac:dyDescent="0.25">
      <c r="A13" s="9" t="s">
        <v>33</v>
      </c>
      <c r="B13" s="10"/>
      <c r="C13" s="10"/>
      <c r="D13" s="10"/>
      <c r="E13" s="10"/>
      <c r="F13" s="10"/>
      <c r="G13" s="11"/>
      <c r="H13" s="10"/>
      <c r="I13" s="12">
        <v>1</v>
      </c>
      <c r="J13" s="10"/>
      <c r="K13" s="10"/>
      <c r="L13" s="18">
        <v>1</v>
      </c>
      <c r="M13" s="10"/>
      <c r="N13" s="10"/>
      <c r="O13" s="10"/>
      <c r="P13" s="10"/>
      <c r="Q13" s="11"/>
      <c r="R13" s="10"/>
      <c r="S13" s="10"/>
      <c r="T13" s="10"/>
      <c r="U13" s="10"/>
      <c r="V13" s="11"/>
      <c r="W13" s="10"/>
      <c r="X13" s="13">
        <f>COUNTIF(B13:W13,1)+COUNTIF(B13:W13,"IC")</f>
      </c>
      <c r="Y13" s="10">
        <f>IF(COUNTIF(B13:W13,"M")&gt;0,"N/A absence longue",IF(X13&gt;=2,"Atteint","Sous objectif"))</f>
      </c>
    </row>
    <row r="14" ht="18" customHeight="1" spans="1:25" x14ac:dyDescent="0.25">
      <c r="A14" s="9" t="s">
        <v>56</v>
      </c>
      <c r="B14" s="10"/>
      <c r="C14" s="10"/>
      <c r="D14" s="10"/>
      <c r="E14" s="10"/>
      <c r="F14" s="10"/>
      <c r="G14" s="11"/>
      <c r="H14" s="10"/>
      <c r="I14" s="12">
        <v>1</v>
      </c>
      <c r="J14" s="10"/>
      <c r="K14" s="10"/>
      <c r="L14" s="11"/>
      <c r="M14" s="12">
        <v>1</v>
      </c>
      <c r="N14" s="10"/>
      <c r="O14" s="10"/>
      <c r="P14" s="10"/>
      <c r="Q14" s="11"/>
      <c r="R14" s="10"/>
      <c r="S14" s="10"/>
      <c r="T14" s="10"/>
      <c r="U14" s="10"/>
      <c r="V14" s="11"/>
      <c r="W14" s="10"/>
      <c r="X14" s="13">
        <f>COUNTIF(B14:W14,1)+COUNTIF(B14:W14,"IC")</f>
      </c>
      <c r="Y14" s="10">
        <f>IF(COUNTIF(B14:W14,"M")&gt;0,"N/A absence longue",IF(X14&gt;=2,"Atteint","Sous objectif"))</f>
      </c>
    </row>
    <row r="15" ht="18" customHeight="1" spans="1:25" x14ac:dyDescent="0.25">
      <c r="A15" s="9" t="s">
        <v>44</v>
      </c>
      <c r="B15" s="10"/>
      <c r="C15" s="10"/>
      <c r="D15" s="10"/>
      <c r="E15" s="10"/>
      <c r="F15" s="12">
        <v>1</v>
      </c>
      <c r="G15" s="11"/>
      <c r="H15" s="10"/>
      <c r="I15" s="12">
        <v>1</v>
      </c>
      <c r="J15" s="10"/>
      <c r="K15" s="10"/>
      <c r="L15" s="18">
        <v>1</v>
      </c>
      <c r="M15" s="10"/>
      <c r="N15" s="10"/>
      <c r="O15" s="12">
        <v>1</v>
      </c>
      <c r="P15" s="10"/>
      <c r="Q15" s="11"/>
      <c r="R15" s="10"/>
      <c r="S15" s="10"/>
      <c r="T15" s="12">
        <v>1</v>
      </c>
      <c r="U15" s="10"/>
      <c r="V15" s="11"/>
      <c r="W15" s="10"/>
      <c r="X15" s="13">
        <f>COUNTIF(B15:W15,1)+COUNTIF(B15:W15,"IC")</f>
      </c>
      <c r="Y15" s="10">
        <f>IF(COUNTIF(B15:W15,"M")&gt;0,"N/A absence longue",IF(X15&gt;=2,"Atteint","Sous objectif"))</f>
      </c>
    </row>
    <row r="16" ht="18" customHeight="1" spans="1:25" x14ac:dyDescent="0.25">
      <c r="A16" s="9" t="s">
        <v>57</v>
      </c>
      <c r="B16" s="10"/>
      <c r="C16" s="10"/>
      <c r="D16" s="10"/>
      <c r="E16" s="10"/>
      <c r="F16" s="10"/>
      <c r="G16" s="11"/>
      <c r="H16" s="12">
        <v>1</v>
      </c>
      <c r="I16" s="12">
        <v>1</v>
      </c>
      <c r="J16" s="10"/>
      <c r="K16" s="10"/>
      <c r="L16" s="18">
        <v>1</v>
      </c>
      <c r="M16" s="10"/>
      <c r="N16" s="10"/>
      <c r="O16" s="10"/>
      <c r="P16" s="10"/>
      <c r="Q16" s="11"/>
      <c r="R16" s="10"/>
      <c r="S16" s="10"/>
      <c r="T16" s="12">
        <v>1</v>
      </c>
      <c r="U16" s="10"/>
      <c r="V16" s="11"/>
      <c r="W16" s="10"/>
      <c r="X16" s="13">
        <f>COUNTIF(B16:W16,1)+COUNTIF(B16:W16,"IC")</f>
      </c>
      <c r="Y16" s="10">
        <f>IF(COUNTIF(B16:W16,"M")&gt;0,"N/A absence longue",IF(X16&gt;=2,"Atteint","Sous objectif"))</f>
      </c>
    </row>
    <row r="17" ht="18" customHeight="1" spans="1:25" x14ac:dyDescent="0.25">
      <c r="A17" s="9" t="s">
        <v>41</v>
      </c>
      <c r="B17" s="10"/>
      <c r="C17" s="10"/>
      <c r="D17" s="10"/>
      <c r="E17" s="10"/>
      <c r="F17" s="10"/>
      <c r="G17" s="11"/>
      <c r="H17" s="10"/>
      <c r="I17" s="10"/>
      <c r="J17" s="10"/>
      <c r="K17" s="10"/>
      <c r="L17" s="11"/>
      <c r="M17" s="10"/>
      <c r="N17" s="10"/>
      <c r="O17" s="10"/>
      <c r="P17" s="10"/>
      <c r="Q17" s="11"/>
      <c r="R17" s="10"/>
      <c r="S17" s="10"/>
      <c r="T17" s="12">
        <v>1</v>
      </c>
      <c r="U17" s="10"/>
      <c r="V17" s="11"/>
      <c r="W17" s="10"/>
      <c r="X17" s="13">
        <f>COUNTIF(B17:W17,1)+COUNTIF(B17:W17,"IC")</f>
      </c>
      <c r="Y17" s="10">
        <f>IF(COUNTIF(B17:W17,"M")&gt;0,"N/A absence longue",IF(X17&gt;=2,"Atteint","Sous objectif"))</f>
      </c>
    </row>
    <row r="18" ht="18" customHeight="1" spans="1:25" x14ac:dyDescent="0.25">
      <c r="A18" s="9" t="s">
        <v>47</v>
      </c>
      <c r="B18" s="10"/>
      <c r="C18" s="10"/>
      <c r="D18" s="10"/>
      <c r="E18" s="10"/>
      <c r="F18" s="10"/>
      <c r="G18" s="11"/>
      <c r="H18" s="10"/>
      <c r="I18" s="10"/>
      <c r="J18" s="10"/>
      <c r="K18" s="10"/>
      <c r="L18" s="11"/>
      <c r="M18" s="10"/>
      <c r="N18" s="10"/>
      <c r="O18" s="10"/>
      <c r="P18" s="10"/>
      <c r="Q18" s="11"/>
      <c r="R18" s="10"/>
      <c r="S18" s="10"/>
      <c r="T18" s="12">
        <v>1</v>
      </c>
      <c r="U18" s="10"/>
      <c r="V18" s="11"/>
      <c r="W18" s="10"/>
      <c r="X18" s="13">
        <f>COUNTIF(B18:W18,1)+COUNTIF(B18:W18,"IC")</f>
      </c>
      <c r="Y18" s="10">
        <f>IF(COUNTIF(B18:W18,"M")&gt;0,"N/A absence longue",IF(X18&gt;=2,"Atteint","Sous objectif"))</f>
      </c>
    </row>
    <row r="19" ht="18" customHeight="1" spans="1:25" x14ac:dyDescent="0.25">
      <c r="A19" s="9" t="s">
        <v>55</v>
      </c>
      <c r="B19" s="10"/>
      <c r="C19" s="10"/>
      <c r="D19" s="10"/>
      <c r="E19" s="10"/>
      <c r="F19" s="10"/>
      <c r="G19" s="11"/>
      <c r="H19" s="10"/>
      <c r="I19" s="10"/>
      <c r="J19" s="10"/>
      <c r="K19" s="10"/>
      <c r="L19" s="11"/>
      <c r="M19" s="10"/>
      <c r="N19" s="10"/>
      <c r="O19" s="10"/>
      <c r="P19" s="10"/>
      <c r="Q19" s="11"/>
      <c r="R19" s="10"/>
      <c r="S19" s="10"/>
      <c r="T19" s="12">
        <v>1</v>
      </c>
      <c r="U19" s="10"/>
      <c r="V19" s="11"/>
      <c r="W19" s="10"/>
      <c r="X19" s="13">
        <f>COUNTIF(B19:W19,1)+COUNTIF(B19:W19,"IC")</f>
      </c>
      <c r="Y19" s="10">
        <f>IF(COUNTIF(B19:W19,"M")&gt;0,"N/A absence longue",IF(X19&gt;=2,"Atteint","Sous objectif"))</f>
      </c>
    </row>
    <row r="20" ht="18" customHeight="1" spans="1:25" x14ac:dyDescent="0.25">
      <c r="A20" s="9" t="s">
        <v>46</v>
      </c>
      <c r="B20" s="12">
        <v>1</v>
      </c>
      <c r="C20" s="10"/>
      <c r="D20" s="10"/>
      <c r="E20" s="10"/>
      <c r="F20" s="10"/>
      <c r="G20" s="18">
        <v>1</v>
      </c>
      <c r="H20" s="10"/>
      <c r="I20" s="10"/>
      <c r="J20" s="10"/>
      <c r="K20" s="10"/>
      <c r="L20" s="11"/>
      <c r="M20" s="10"/>
      <c r="N20" s="12">
        <v>1</v>
      </c>
      <c r="O20" s="10"/>
      <c r="P20" s="10"/>
      <c r="Q20" s="11"/>
      <c r="R20" s="10"/>
      <c r="S20" s="10"/>
      <c r="T20" s="12">
        <v>1</v>
      </c>
      <c r="U20" s="10"/>
      <c r="V20" s="11"/>
      <c r="W20" s="10"/>
      <c r="X20" s="13">
        <f>COUNTIF(B20:W20,1)+COUNTIF(B20:W20,"IC")</f>
      </c>
      <c r="Y20" s="10">
        <f>IF(COUNTIF(B20:W20,"M")&gt;0,"N/A absence longue",IF(X20&gt;=2,"Atteint","Sous objectif"))</f>
      </c>
    </row>
    <row r="21" ht="18" customHeight="1" spans="1:25" x14ac:dyDescent="0.25">
      <c r="A21" s="9" t="s">
        <v>38</v>
      </c>
      <c r="B21" s="10"/>
      <c r="C21" s="10"/>
      <c r="D21" s="10"/>
      <c r="E21" s="10"/>
      <c r="F21" s="12">
        <v>1</v>
      </c>
      <c r="G21" s="11"/>
      <c r="H21" s="10"/>
      <c r="I21" s="10"/>
      <c r="J21" s="10"/>
      <c r="K21" s="10"/>
      <c r="L21" s="11"/>
      <c r="M21" s="12">
        <v>1</v>
      </c>
      <c r="N21" s="10"/>
      <c r="O21" s="12">
        <v>1</v>
      </c>
      <c r="P21" s="10"/>
      <c r="Q21" s="11"/>
      <c r="R21" s="10"/>
      <c r="S21" s="10"/>
      <c r="T21" s="12">
        <v>1</v>
      </c>
      <c r="U21" s="10"/>
      <c r="V21" s="11"/>
      <c r="W21" s="10"/>
      <c r="X21" s="13">
        <f>COUNTIF(B21:W21,1)+COUNTIF(B21:W21,"IC")</f>
      </c>
      <c r="Y21" s="10">
        <f>IF(COUNTIF(B21:W21,"M")&gt;0,"N/A absence longue",IF(X21&gt;=2,"Atteint","Sous objectif"))</f>
      </c>
    </row>
    <row r="22" ht="18" customHeight="1" spans="1:25" x14ac:dyDescent="0.25">
      <c r="A22" s="9" t="s">
        <v>39</v>
      </c>
      <c r="B22" s="10"/>
      <c r="C22" s="10"/>
      <c r="D22" s="10"/>
      <c r="E22" s="10"/>
      <c r="F22" s="10"/>
      <c r="G22" s="11"/>
      <c r="H22" s="10"/>
      <c r="I22" s="10"/>
      <c r="J22" s="10"/>
      <c r="K22" s="10"/>
      <c r="L22" s="11"/>
      <c r="M22" s="12">
        <v>1</v>
      </c>
      <c r="N22" s="10"/>
      <c r="O22" s="10"/>
      <c r="P22" s="10"/>
      <c r="Q22" s="11"/>
      <c r="R22" s="10"/>
      <c r="S22" s="10"/>
      <c r="T22" s="10"/>
      <c r="U22" s="10"/>
      <c r="V22" s="11"/>
      <c r="W22" s="10"/>
      <c r="X22" s="13">
        <f>COUNTIF(B22:W22,1)+COUNTIF(B22:W22,"IC")</f>
      </c>
      <c r="Y22" s="10">
        <f>IF(COUNTIF(B22:W22,"M")&gt;0,"N/A absence longue",IF(X22&gt;=2,"Atteint","Sous objectif"))</f>
      </c>
    </row>
    <row r="23" ht="18" customHeight="1" spans="1:25" x14ac:dyDescent="0.25">
      <c r="A23" s="9" t="s">
        <v>35</v>
      </c>
      <c r="B23" s="10"/>
      <c r="C23" s="10"/>
      <c r="D23" s="10"/>
      <c r="E23" s="10"/>
      <c r="F23" s="10"/>
      <c r="G23" s="11"/>
      <c r="H23" s="10"/>
      <c r="I23" s="10"/>
      <c r="J23" s="10"/>
      <c r="K23" s="10"/>
      <c r="L23" s="11"/>
      <c r="M23" s="10"/>
      <c r="N23" s="10"/>
      <c r="O23" s="10"/>
      <c r="P23" s="10"/>
      <c r="Q23" s="11"/>
      <c r="R23" s="10"/>
      <c r="S23" s="10"/>
      <c r="T23" s="12">
        <v>1</v>
      </c>
      <c r="U23" s="10"/>
      <c r="V23" s="11"/>
      <c r="W23" s="10"/>
      <c r="X23" s="13">
        <f>COUNTIF(B23:W23,1)+COUNTIF(B23:W23,"IC")</f>
      </c>
      <c r="Y23" s="10">
        <f>IF(COUNTIF(B23:W23,"M")&gt;0,"N/A absence longue",IF(X23&gt;=2,"Atteint","Sous objectif"))</f>
      </c>
    </row>
    <row r="24" ht="18" customHeight="1" spans="1:25" x14ac:dyDescent="0.25">
      <c r="A24" s="9" t="s">
        <v>42</v>
      </c>
      <c r="B24" s="10"/>
      <c r="C24" s="10"/>
      <c r="D24" s="10"/>
      <c r="E24" s="10"/>
      <c r="F24" s="10"/>
      <c r="G24" s="11"/>
      <c r="H24" s="10"/>
      <c r="I24" s="10"/>
      <c r="J24" s="10"/>
      <c r="K24" s="10"/>
      <c r="L24" s="11"/>
      <c r="M24" s="10"/>
      <c r="N24" s="10"/>
      <c r="O24" s="10"/>
      <c r="P24" s="10"/>
      <c r="Q24" s="11"/>
      <c r="R24" s="12">
        <v>1</v>
      </c>
      <c r="S24" s="10"/>
      <c r="T24" s="12">
        <v>1</v>
      </c>
      <c r="U24" s="10"/>
      <c r="V24" s="18">
        <v>1</v>
      </c>
      <c r="W24" s="12">
        <v>1</v>
      </c>
      <c r="X24" s="13">
        <f>COUNTIF(B24:W24,1)+COUNTIF(B24:W24,"IC")</f>
      </c>
      <c r="Y24" s="10">
        <f>IF(COUNTIF(B24:W24,"M")&gt;0,"N/A absence longue",IF(X24&gt;=2,"Atteint","Sous objectif"))</f>
      </c>
    </row>
    <row r="25" ht="18" customHeight="1" spans="1:25" x14ac:dyDescent="0.25">
      <c r="A25" s="9" t="s">
        <v>45</v>
      </c>
      <c r="B25" s="10"/>
      <c r="C25" s="10"/>
      <c r="D25" s="10"/>
      <c r="E25" s="10"/>
      <c r="F25" s="10"/>
      <c r="G25" s="11"/>
      <c r="H25" s="10"/>
      <c r="I25" s="10"/>
      <c r="J25" s="10"/>
      <c r="K25" s="10"/>
      <c r="L25" s="11"/>
      <c r="M25" s="10"/>
      <c r="N25" s="10"/>
      <c r="O25" s="10"/>
      <c r="P25" s="10"/>
      <c r="Q25" s="11"/>
      <c r="R25" s="10"/>
      <c r="S25" s="10"/>
      <c r="T25" s="12">
        <v>1</v>
      </c>
      <c r="U25" s="10"/>
      <c r="V25" s="11"/>
      <c r="W25" s="10"/>
      <c r="X25" s="13">
        <f>COUNTIF(B25:W25,1)+COUNTIF(B25:W25,"IC")</f>
      </c>
      <c r="Y25" s="10">
        <f>IF(COUNTIF(B25:W25,"M")&gt;0,"N/A absence longue",IF(X25&gt;=2,"Atteint","Sous objectif"))</f>
      </c>
    </row>
    <row r="26" ht="18" customHeight="1" spans="1:25" x14ac:dyDescent="0.25">
      <c r="A26" s="9" t="s">
        <v>53</v>
      </c>
      <c r="B26" s="10"/>
      <c r="C26" s="10"/>
      <c r="D26" s="10"/>
      <c r="E26" s="10"/>
      <c r="F26" s="10"/>
      <c r="G26" s="11"/>
      <c r="H26" s="10"/>
      <c r="I26" s="10"/>
      <c r="J26" s="10"/>
      <c r="K26" s="10"/>
      <c r="L26" s="11"/>
      <c r="M26" s="10"/>
      <c r="N26" s="10"/>
      <c r="O26" s="10"/>
      <c r="P26" s="10"/>
      <c r="Q26" s="11"/>
      <c r="R26" s="10"/>
      <c r="S26" s="10"/>
      <c r="T26" s="10"/>
      <c r="U26" s="10"/>
      <c r="V26" s="11"/>
      <c r="W26" s="10"/>
      <c r="X26" s="13">
        <f>COUNTIF(B26:W26,1)+COUNTIF(B26:W26,"IC")</f>
      </c>
      <c r="Y26" s="10">
        <f>IF(COUNTIF(B26:W26,"M")&gt;0,"N/A absence longue",IF(X26&gt;=2,"Atteint","Sous objectif"))</f>
      </c>
    </row>
    <row r="27" ht="18" customHeight="1" spans="1:25" x14ac:dyDescent="0.25">
      <c r="A27" s="9" t="s">
        <v>54</v>
      </c>
      <c r="B27" s="10"/>
      <c r="C27" s="10"/>
      <c r="D27" s="10"/>
      <c r="E27" s="10"/>
      <c r="F27" s="10"/>
      <c r="G27" s="11"/>
      <c r="H27" s="10"/>
      <c r="I27" s="10"/>
      <c r="J27" s="10"/>
      <c r="K27" s="10"/>
      <c r="L27" s="11"/>
      <c r="M27" s="10"/>
      <c r="N27" s="10"/>
      <c r="O27" s="12">
        <v>1</v>
      </c>
      <c r="P27" s="10"/>
      <c r="Q27" s="11"/>
      <c r="R27" s="10"/>
      <c r="S27" s="10"/>
      <c r="T27" s="12">
        <v>1</v>
      </c>
      <c r="U27" s="10"/>
      <c r="V27" s="11"/>
      <c r="W27" s="10"/>
      <c r="X27" s="13">
        <f>COUNTIF(B27:W27,1)+COUNTIF(B27:W27,"IC")</f>
      </c>
      <c r="Y27" s="10">
        <f>IF(COUNTIF(B27:W27,"M")&gt;0,"N/A absence longue",IF(X27&gt;=2,"Atteint","Sous objectif"))</f>
      </c>
    </row>
    <row r="28" ht="18" customHeight="1" spans="1:25" x14ac:dyDescent="0.25">
      <c r="A28" s="9" t="s">
        <v>51</v>
      </c>
      <c r="B28" s="10"/>
      <c r="C28" s="10"/>
      <c r="D28" s="10"/>
      <c r="E28" s="10"/>
      <c r="F28" s="10"/>
      <c r="G28" s="11"/>
      <c r="H28" s="10"/>
      <c r="I28" s="12">
        <v>1</v>
      </c>
      <c r="J28" s="10"/>
      <c r="K28" s="10"/>
      <c r="L28" s="11"/>
      <c r="M28" s="12">
        <v>1</v>
      </c>
      <c r="N28" s="10"/>
      <c r="O28" s="10"/>
      <c r="P28" s="10"/>
      <c r="Q28" s="11"/>
      <c r="R28" s="12">
        <v>1</v>
      </c>
      <c r="S28" s="10"/>
      <c r="T28" s="10"/>
      <c r="U28" s="10"/>
      <c r="V28" s="11"/>
      <c r="W28" s="12">
        <v>1</v>
      </c>
      <c r="X28" s="13">
        <f>COUNTIF(B28:W28,1)+COUNTIF(B28:W28,"IC")</f>
      </c>
      <c r="Y28" s="10">
        <f>IF(COUNTIF(B28:W28,"M")&gt;0,"N/A absence longue",IF(X28&gt;=2,"Atteint","Sous objectif"))</f>
      </c>
    </row>
    <row r="29" ht="18" customHeight="1" spans="1:25" x14ac:dyDescent="0.25">
      <c r="A29" s="9" t="s">
        <v>34</v>
      </c>
      <c r="B29" s="10"/>
      <c r="C29" s="10"/>
      <c r="D29" s="10"/>
      <c r="E29" s="10"/>
      <c r="F29" s="10"/>
      <c r="G29" s="11"/>
      <c r="H29" s="10"/>
      <c r="I29" s="10"/>
      <c r="J29" s="10"/>
      <c r="K29" s="10"/>
      <c r="L29" s="11"/>
      <c r="M29" s="12">
        <v>1</v>
      </c>
      <c r="N29" s="10"/>
      <c r="O29" s="10"/>
      <c r="P29" s="10"/>
      <c r="Q29" s="11"/>
      <c r="R29" s="12">
        <v>1</v>
      </c>
      <c r="S29" s="10"/>
      <c r="T29" s="12">
        <v>1</v>
      </c>
      <c r="U29" s="10"/>
      <c r="V29" s="11"/>
      <c r="W29" s="10"/>
      <c r="X29" s="13">
        <f>COUNTIF(B29:W29,1)+COUNTIF(B29:W29,"IC")</f>
      </c>
      <c r="Y29" s="10">
        <f>IF(COUNTIF(B29:W29,"M")&gt;0,"N/A absence longue",IF(X29&gt;=2,"Atteint","Sous objectif"))</f>
      </c>
    </row>
    <row r="31" spans="1:1" x14ac:dyDescent="0.25">
      <c r="A31" s="19" t="s">
        <v>71</v>
      </c>
    </row>
    <row r="32" spans="1:23" x14ac:dyDescent="0.25">
      <c r="A32" s="20" t="s">
        <v>65</v>
      </c>
      <c r="B32" s="10"/>
      <c r="C32" s="10"/>
      <c r="D32" s="10"/>
      <c r="E32" s="10"/>
      <c r="F32" s="10"/>
      <c r="G32" s="11"/>
      <c r="H32" s="10"/>
      <c r="I32" s="10"/>
      <c r="J32" s="10"/>
      <c r="K32" s="10"/>
      <c r="L32" s="11"/>
      <c r="M32" s="10"/>
      <c r="N32" s="10"/>
      <c r="O32" s="10"/>
      <c r="P32" s="10"/>
      <c r="Q32" s="11"/>
      <c r="R32" s="10"/>
      <c r="S32" s="10"/>
      <c r="T32" s="21" t="s">
        <v>18</v>
      </c>
      <c r="U32" s="10"/>
      <c r="V32" s="11"/>
      <c r="W32" s="10"/>
    </row>
    <row r="33" spans="1:23" x14ac:dyDescent="0.25">
      <c r="A33" s="20" t="s">
        <v>63</v>
      </c>
      <c r="B33" s="10"/>
      <c r="C33" s="10"/>
      <c r="D33" s="10"/>
      <c r="E33" s="10"/>
      <c r="F33" s="10"/>
      <c r="G33" s="11"/>
      <c r="H33" s="10"/>
      <c r="I33" s="10"/>
      <c r="J33" s="10"/>
      <c r="K33" s="10"/>
      <c r="L33" s="11"/>
      <c r="M33" s="10"/>
      <c r="N33" s="10"/>
      <c r="O33" s="10"/>
      <c r="P33" s="10"/>
      <c r="Q33" s="11"/>
      <c r="R33" s="10"/>
      <c r="S33" s="10"/>
      <c r="T33" s="10"/>
      <c r="U33" s="10"/>
      <c r="V33" s="11"/>
      <c r="W33" s="10"/>
    </row>
    <row r="34" spans="1:23" x14ac:dyDescent="0.25">
      <c r="A34" s="20" t="s">
        <v>72</v>
      </c>
      <c r="B34" s="10"/>
      <c r="C34" s="10"/>
      <c r="D34" s="10"/>
      <c r="E34" s="10"/>
      <c r="F34" s="10"/>
      <c r="G34" s="11"/>
      <c r="H34" s="10"/>
      <c r="I34" s="10"/>
      <c r="J34" s="10"/>
      <c r="K34" s="10"/>
      <c r="L34" s="11"/>
      <c r="M34" s="10"/>
      <c r="N34" s="10"/>
      <c r="O34" s="10"/>
      <c r="P34" s="10"/>
      <c r="Q34" s="11"/>
      <c r="R34" s="10"/>
      <c r="S34" s="10"/>
      <c r="T34" s="10"/>
      <c r="U34" s="10"/>
      <c r="V34" s="11"/>
      <c r="W34" s="10"/>
    </row>
  </sheetData>
  <mergeCells count="1">
    <mergeCell ref="A1:Y1"/>
  </mergeCells>
  <conditionalFormatting sqref="B4:W29">
    <cfRule type="cellIs" dxfId="4" priority="1" operator="equal">
      <formula>1</formula>
    </cfRule>
    <cfRule type="cellIs" dxfId="5" priority="2" operator="equal">
      <formula>"IC"</formula>
    </cfRule>
    <cfRule type="cellIs" dxfId="6" priority="3" operator="equal">
      <formula>"M"</formula>
    </cfRule>
  </conditionalFormatting>
  <conditionalFormatting sqref="B32:W34">
    <cfRule type="cellIs" dxfId="7" priority="1" operator="equal">
      <formula>"X"</formula>
    </cfRule>
  </conditionalFormatting>
  <dataValidations count="2">
    <dataValidation type="list" allowBlank="1" showErrorMessage="1" errorTitle="Valeur invalide" error="Valeurs autorisées : X ou vide." sqref="B32:W34">
      <formula1>"X"</formula1>
    </dataValidation>
    <dataValidation type="list" allowBlank="1" showErrorMessage="1" errorTitle="Valeur invalide" error="Valeurs autorisées : 1, IC, M ou vide." sqref="B4:W29">
      <formula1>"1,IC,M"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4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4" width="8" customWidth="1"/>
    <col min="25" max="25" width="18" customWidth="1"/>
  </cols>
  <sheetData>
    <row r="1" ht="22" customHeight="1" spans="1:25" x14ac:dyDescent="0.25">
      <c r="A1" s="3" t="s">
        <v>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3" ht="22" customHeight="1" spans="1:25" x14ac:dyDescent="0.25">
      <c r="A3" s="4" t="s">
        <v>30</v>
      </c>
      <c r="B3" s="5">
        <v>46113</v>
      </c>
      <c r="C3" s="5">
        <v>46114</v>
      </c>
      <c r="D3" s="5">
        <v>46115</v>
      </c>
      <c r="E3" s="6">
        <v>46118</v>
      </c>
      <c r="F3" s="5">
        <v>46119</v>
      </c>
      <c r="G3" s="5">
        <v>46120</v>
      </c>
      <c r="H3" s="5">
        <v>46121</v>
      </c>
      <c r="I3" s="5">
        <v>46122</v>
      </c>
      <c r="J3" s="6">
        <v>46125</v>
      </c>
      <c r="K3" s="5">
        <v>46126</v>
      </c>
      <c r="L3" s="5">
        <v>46127</v>
      </c>
      <c r="M3" s="5">
        <v>46128</v>
      </c>
      <c r="N3" s="5">
        <v>46129</v>
      </c>
      <c r="O3" s="6">
        <v>46132</v>
      </c>
      <c r="P3" s="5">
        <v>46133</v>
      </c>
      <c r="Q3" s="5">
        <v>46134</v>
      </c>
      <c r="R3" s="5">
        <v>46135</v>
      </c>
      <c r="S3" s="5">
        <v>46136</v>
      </c>
      <c r="T3" s="6">
        <v>46139</v>
      </c>
      <c r="U3" s="5">
        <v>46140</v>
      </c>
      <c r="V3" s="5">
        <v>46141</v>
      </c>
      <c r="W3" s="5">
        <v>46142</v>
      </c>
      <c r="X3" s="7" t="s">
        <v>69</v>
      </c>
      <c r="Y3" s="8" t="s">
        <v>70</v>
      </c>
    </row>
    <row r="4" ht="18" customHeight="1" spans="1:25" x14ac:dyDescent="0.25">
      <c r="A4" s="9" t="s">
        <v>43</v>
      </c>
      <c r="B4" s="10"/>
      <c r="C4" s="10"/>
      <c r="D4" s="10"/>
      <c r="E4" s="11"/>
      <c r="F4" s="10"/>
      <c r="G4" s="10"/>
      <c r="H4" s="10"/>
      <c r="I4" s="10"/>
      <c r="J4" s="11"/>
      <c r="K4" s="10"/>
      <c r="L4" s="10"/>
      <c r="M4" s="10"/>
      <c r="N4" s="10"/>
      <c r="O4" s="11"/>
      <c r="P4" s="10"/>
      <c r="Q4" s="10"/>
      <c r="R4" s="12">
        <v>1</v>
      </c>
      <c r="S4" s="10"/>
      <c r="T4" s="11"/>
      <c r="U4" s="10"/>
      <c r="V4" s="10"/>
      <c r="W4" s="10"/>
      <c r="X4" s="13">
        <f>COUNTIF(B4:W4,1)+COUNTIF(B4:W4,"IC")</f>
      </c>
      <c r="Y4" s="10">
        <f>IF(COUNTIF(B4:W4,"M")&gt;0,"N/A absence longue",IF(X4&gt;=2,"Atteint","Sous objectif"))</f>
      </c>
    </row>
    <row r="5" ht="18" customHeight="1" spans="1:25" x14ac:dyDescent="0.25">
      <c r="A5" s="9" t="s">
        <v>58</v>
      </c>
      <c r="B5" s="10"/>
      <c r="C5" s="16" t="s">
        <v>9</v>
      </c>
      <c r="D5" s="10"/>
      <c r="E5" s="11"/>
      <c r="F5" s="16" t="s">
        <v>9</v>
      </c>
      <c r="G5" s="10"/>
      <c r="H5" s="16" t="s">
        <v>9</v>
      </c>
      <c r="I5" s="10"/>
      <c r="J5" s="17" t="s">
        <v>9</v>
      </c>
      <c r="K5" s="16" t="s">
        <v>9</v>
      </c>
      <c r="L5" s="10"/>
      <c r="M5" s="16" t="s">
        <v>9</v>
      </c>
      <c r="N5" s="10"/>
      <c r="O5" s="17" t="s">
        <v>9</v>
      </c>
      <c r="P5" s="10"/>
      <c r="Q5" s="10"/>
      <c r="R5" s="16" t="s">
        <v>9</v>
      </c>
      <c r="S5" s="10"/>
      <c r="T5" s="11"/>
      <c r="U5" s="10"/>
      <c r="V5" s="10"/>
      <c r="W5" s="10"/>
      <c r="X5" s="13">
        <f>COUNTIF(B5:W5,1)+COUNTIF(B5:W5,"IC")</f>
      </c>
      <c r="Y5" s="10">
        <f>IF(COUNTIF(B5:W5,"M")&gt;0,"N/A absence longue",IF(X5&gt;=2,"Atteint","Sous objectif"))</f>
      </c>
    </row>
    <row r="6" ht="18" customHeight="1" spans="1:25" x14ac:dyDescent="0.25">
      <c r="A6" s="9" t="s">
        <v>40</v>
      </c>
      <c r="B6" s="10"/>
      <c r="C6" s="10"/>
      <c r="D6" s="10"/>
      <c r="E6" s="11"/>
      <c r="F6" s="10"/>
      <c r="G6" s="10"/>
      <c r="H6" s="10"/>
      <c r="I6" s="10"/>
      <c r="J6" s="11"/>
      <c r="K6" s="10"/>
      <c r="L6" s="10"/>
      <c r="M6" s="10"/>
      <c r="N6" s="10"/>
      <c r="O6" s="11"/>
      <c r="P6" s="10"/>
      <c r="Q6" s="10"/>
      <c r="R6" s="12">
        <v>1</v>
      </c>
      <c r="S6" s="10"/>
      <c r="T6" s="11"/>
      <c r="U6" s="10"/>
      <c r="V6" s="10"/>
      <c r="W6" s="10"/>
      <c r="X6" s="13">
        <f>COUNTIF(B6:W6,1)+COUNTIF(B6:W6,"IC")</f>
      </c>
      <c r="Y6" s="10">
        <f>IF(COUNTIF(B6:W6,"M")&gt;0,"N/A absence longue",IF(X6&gt;=2,"Atteint","Sous objectif"))</f>
      </c>
    </row>
    <row r="7" ht="18" customHeight="1" spans="1:25" x14ac:dyDescent="0.25">
      <c r="A7" s="9" t="s">
        <v>50</v>
      </c>
      <c r="B7" s="10"/>
      <c r="C7" s="10"/>
      <c r="D7" s="10"/>
      <c r="E7" s="11"/>
      <c r="F7" s="10"/>
      <c r="G7" s="10"/>
      <c r="H7" s="10"/>
      <c r="I7" s="10"/>
      <c r="J7" s="11"/>
      <c r="K7" s="12">
        <v>1</v>
      </c>
      <c r="L7" s="10"/>
      <c r="M7" s="12">
        <v>1</v>
      </c>
      <c r="N7" s="10"/>
      <c r="O7" s="11"/>
      <c r="P7" s="10"/>
      <c r="Q7" s="10"/>
      <c r="R7" s="12">
        <v>1</v>
      </c>
      <c r="S7" s="10"/>
      <c r="T7" s="11"/>
      <c r="U7" s="10"/>
      <c r="V7" s="10"/>
      <c r="W7" s="10"/>
      <c r="X7" s="13">
        <f>COUNTIF(B7:W7,1)+COUNTIF(B7:W7,"IC")</f>
      </c>
      <c r="Y7" s="10">
        <f>IF(COUNTIF(B7:W7,"M")&gt;0,"N/A absence longue",IF(X7&gt;=2,"Atteint","Sous objectif"))</f>
      </c>
    </row>
    <row r="8" ht="18" customHeight="1" spans="1:25" x14ac:dyDescent="0.25">
      <c r="A8" s="9" t="s">
        <v>49</v>
      </c>
      <c r="B8" s="10"/>
      <c r="C8" s="16" t="s">
        <v>9</v>
      </c>
      <c r="D8" s="10"/>
      <c r="E8" s="11"/>
      <c r="F8" s="16" t="s">
        <v>9</v>
      </c>
      <c r="G8" s="10"/>
      <c r="H8" s="16" t="s">
        <v>9</v>
      </c>
      <c r="I8" s="10"/>
      <c r="J8" s="17" t="s">
        <v>9</v>
      </c>
      <c r="K8" s="16" t="s">
        <v>9</v>
      </c>
      <c r="L8" s="10"/>
      <c r="M8" s="16" t="s">
        <v>9</v>
      </c>
      <c r="N8" s="10"/>
      <c r="O8" s="17" t="s">
        <v>9</v>
      </c>
      <c r="P8" s="16" t="s">
        <v>9</v>
      </c>
      <c r="Q8" s="10"/>
      <c r="R8" s="16" t="s">
        <v>9</v>
      </c>
      <c r="S8" s="10"/>
      <c r="T8" s="11"/>
      <c r="U8" s="10"/>
      <c r="V8" s="10"/>
      <c r="W8" s="10"/>
      <c r="X8" s="13">
        <f>COUNTIF(B8:W8,1)+COUNTIF(B8:W8,"IC")</f>
      </c>
      <c r="Y8" s="10">
        <f>IF(COUNTIF(B8:W8,"M")&gt;0,"N/A absence longue",IF(X8&gt;=2,"Atteint","Sous objectif"))</f>
      </c>
    </row>
    <row r="9" ht="18" customHeight="1" spans="1:25" x14ac:dyDescent="0.25">
      <c r="A9" s="9" t="s">
        <v>37</v>
      </c>
      <c r="B9" s="10"/>
      <c r="C9" s="10"/>
      <c r="D9" s="10"/>
      <c r="E9" s="11"/>
      <c r="F9" s="12">
        <v>1</v>
      </c>
      <c r="G9" s="10"/>
      <c r="H9" s="10"/>
      <c r="I9" s="10"/>
      <c r="J9" s="11"/>
      <c r="K9" s="10"/>
      <c r="L9" s="10"/>
      <c r="M9" s="10"/>
      <c r="N9" s="10"/>
      <c r="O9" s="11"/>
      <c r="P9" s="10"/>
      <c r="Q9" s="10"/>
      <c r="R9" s="12">
        <v>1</v>
      </c>
      <c r="S9" s="10"/>
      <c r="T9" s="11"/>
      <c r="U9" s="10"/>
      <c r="V9" s="10"/>
      <c r="W9" s="10"/>
      <c r="X9" s="13">
        <f>COUNTIF(B9:W9,1)+COUNTIF(B9:W9,"IC")</f>
      </c>
      <c r="Y9" s="10">
        <f>IF(COUNTIF(B9:W9,"M")&gt;0,"N/A absence longue",IF(X9&gt;=2,"Atteint","Sous objectif"))</f>
      </c>
    </row>
    <row r="10" ht="18" customHeight="1" spans="1:25" x14ac:dyDescent="0.25">
      <c r="A10" s="9" t="s">
        <v>52</v>
      </c>
      <c r="B10" s="10"/>
      <c r="C10" s="10"/>
      <c r="D10" s="10"/>
      <c r="E10" s="11"/>
      <c r="F10" s="10"/>
      <c r="G10" s="10"/>
      <c r="H10" s="12">
        <v>1</v>
      </c>
      <c r="I10" s="10"/>
      <c r="J10" s="11"/>
      <c r="K10" s="12">
        <v>1</v>
      </c>
      <c r="L10" s="10"/>
      <c r="M10" s="12">
        <v>1</v>
      </c>
      <c r="N10" s="10"/>
      <c r="O10" s="11"/>
      <c r="P10" s="10"/>
      <c r="Q10" s="10"/>
      <c r="R10" s="12">
        <v>1</v>
      </c>
      <c r="S10" s="10"/>
      <c r="T10" s="11"/>
      <c r="U10" s="10"/>
      <c r="V10" s="10"/>
      <c r="W10" s="10"/>
      <c r="X10" s="13">
        <f>COUNTIF(B10:W10,1)+COUNTIF(B10:W10,"IC")</f>
      </c>
      <c r="Y10" s="10">
        <f>IF(COUNTIF(B10:W10,"M")&gt;0,"N/A absence longue",IF(X10&gt;=2,"Atteint","Sous objectif"))</f>
      </c>
    </row>
    <row r="11" ht="18" customHeight="1" spans="1:25" x14ac:dyDescent="0.25">
      <c r="A11" s="9" t="s">
        <v>48</v>
      </c>
      <c r="B11" s="10"/>
      <c r="C11" s="12">
        <v>1</v>
      </c>
      <c r="D11" s="10"/>
      <c r="E11" s="11"/>
      <c r="F11" s="10"/>
      <c r="G11" s="10"/>
      <c r="H11" s="10"/>
      <c r="I11" s="10"/>
      <c r="J11" s="11"/>
      <c r="K11" s="10"/>
      <c r="L11" s="10"/>
      <c r="M11" s="10"/>
      <c r="N11" s="10"/>
      <c r="O11" s="11"/>
      <c r="P11" s="10"/>
      <c r="Q11" s="10"/>
      <c r="R11" s="12">
        <v>1</v>
      </c>
      <c r="S11" s="10"/>
      <c r="T11" s="11"/>
      <c r="U11" s="10"/>
      <c r="V11" s="10"/>
      <c r="W11" s="10"/>
      <c r="X11" s="13">
        <f>COUNTIF(B11:W11,1)+COUNTIF(B11:W11,"IC")</f>
      </c>
      <c r="Y11" s="10">
        <f>IF(COUNTIF(B11:W11,"M")&gt;0,"N/A absence longue",IF(X11&gt;=2,"Atteint","Sous objectif"))</f>
      </c>
    </row>
    <row r="12" ht="18" customHeight="1" spans="1:25" x14ac:dyDescent="0.25">
      <c r="A12" s="9" t="s">
        <v>36</v>
      </c>
      <c r="B12" s="10"/>
      <c r="C12" s="10"/>
      <c r="D12" s="10"/>
      <c r="E12" s="11"/>
      <c r="F12" s="10"/>
      <c r="G12" s="10"/>
      <c r="H12" s="10"/>
      <c r="I12" s="10"/>
      <c r="J12" s="11"/>
      <c r="K12" s="10"/>
      <c r="L12" s="10"/>
      <c r="M12" s="10"/>
      <c r="N12" s="10"/>
      <c r="O12" s="11"/>
      <c r="P12" s="10"/>
      <c r="Q12" s="10"/>
      <c r="R12" s="12">
        <v>1</v>
      </c>
      <c r="S12" s="10"/>
      <c r="T12" s="11"/>
      <c r="U12" s="10"/>
      <c r="V12" s="10"/>
      <c r="W12" s="10"/>
      <c r="X12" s="13">
        <f>COUNTIF(B12:W12,1)+COUNTIF(B12:W12,"IC")</f>
      </c>
      <c r="Y12" s="10">
        <f>IF(COUNTIF(B12:W12,"M")&gt;0,"N/A absence longue",IF(X12&gt;=2,"Atteint","Sous objectif"))</f>
      </c>
    </row>
    <row r="13" ht="18" customHeight="1" spans="1:25" x14ac:dyDescent="0.25">
      <c r="A13" s="9" t="s">
        <v>33</v>
      </c>
      <c r="B13" s="10"/>
      <c r="C13" s="10"/>
      <c r="D13" s="10"/>
      <c r="E13" s="11"/>
      <c r="F13" s="12">
        <v>1</v>
      </c>
      <c r="G13" s="10"/>
      <c r="H13" s="10"/>
      <c r="I13" s="10"/>
      <c r="J13" s="11"/>
      <c r="K13" s="10"/>
      <c r="L13" s="10"/>
      <c r="M13" s="10"/>
      <c r="N13" s="10"/>
      <c r="O13" s="11"/>
      <c r="P13" s="10"/>
      <c r="Q13" s="10"/>
      <c r="R13" s="10"/>
      <c r="S13" s="10"/>
      <c r="T13" s="11"/>
      <c r="U13" s="10"/>
      <c r="V13" s="10"/>
      <c r="W13" s="10"/>
      <c r="X13" s="13">
        <f>COUNTIF(B13:W13,1)+COUNTIF(B13:W13,"IC")</f>
      </c>
      <c r="Y13" s="10">
        <f>IF(COUNTIF(B13:W13,"M")&gt;0,"N/A absence longue",IF(X13&gt;=2,"Atteint","Sous objectif"))</f>
      </c>
    </row>
    <row r="14" ht="18" customHeight="1" spans="1:25" x14ac:dyDescent="0.25">
      <c r="A14" s="9" t="s">
        <v>56</v>
      </c>
      <c r="B14" s="10"/>
      <c r="C14" s="10"/>
      <c r="D14" s="10"/>
      <c r="E14" s="11"/>
      <c r="F14" s="10"/>
      <c r="G14" s="10"/>
      <c r="H14" s="10"/>
      <c r="I14" s="10"/>
      <c r="J14" s="11"/>
      <c r="K14" s="10"/>
      <c r="L14" s="10"/>
      <c r="M14" s="12">
        <v>1</v>
      </c>
      <c r="N14" s="10"/>
      <c r="O14" s="11"/>
      <c r="P14" s="10"/>
      <c r="Q14" s="10"/>
      <c r="R14" s="12">
        <v>1</v>
      </c>
      <c r="S14" s="10"/>
      <c r="T14" s="11"/>
      <c r="U14" s="10"/>
      <c r="V14" s="10"/>
      <c r="W14" s="10"/>
      <c r="X14" s="13">
        <f>COUNTIF(B14:W14,1)+COUNTIF(B14:W14,"IC")</f>
      </c>
      <c r="Y14" s="10">
        <f>IF(COUNTIF(B14:W14,"M")&gt;0,"N/A absence longue",IF(X14&gt;=2,"Atteint","Sous objectif"))</f>
      </c>
    </row>
    <row r="15" ht="18" customHeight="1" spans="1:25" x14ac:dyDescent="0.25">
      <c r="A15" s="9" t="s">
        <v>44</v>
      </c>
      <c r="B15" s="10"/>
      <c r="C15" s="10"/>
      <c r="D15" s="10"/>
      <c r="E15" s="11"/>
      <c r="F15" s="10"/>
      <c r="G15" s="10"/>
      <c r="H15" s="10"/>
      <c r="I15" s="10"/>
      <c r="J15" s="18">
        <v>1</v>
      </c>
      <c r="K15" s="10"/>
      <c r="L15" s="12">
        <v>1</v>
      </c>
      <c r="M15" s="10"/>
      <c r="N15" s="10"/>
      <c r="O15" s="11"/>
      <c r="P15" s="10"/>
      <c r="Q15" s="10"/>
      <c r="R15" s="12">
        <v>1</v>
      </c>
      <c r="S15" s="10"/>
      <c r="T15" s="11"/>
      <c r="U15" s="10"/>
      <c r="V15" s="10"/>
      <c r="W15" s="10"/>
      <c r="X15" s="13">
        <f>COUNTIF(B15:W15,1)+COUNTIF(B15:W15,"IC")</f>
      </c>
      <c r="Y15" s="10">
        <f>IF(COUNTIF(B15:W15,"M")&gt;0,"N/A absence longue",IF(X15&gt;=2,"Atteint","Sous objectif"))</f>
      </c>
    </row>
    <row r="16" ht="18" customHeight="1" spans="1:25" x14ac:dyDescent="0.25">
      <c r="A16" s="9" t="s">
        <v>57</v>
      </c>
      <c r="B16" s="10"/>
      <c r="C16" s="10"/>
      <c r="D16" s="10"/>
      <c r="E16" s="11"/>
      <c r="F16" s="12">
        <v>1</v>
      </c>
      <c r="G16" s="10"/>
      <c r="H16" s="10"/>
      <c r="I16" s="10"/>
      <c r="J16" s="11"/>
      <c r="K16" s="10"/>
      <c r="L16" s="10"/>
      <c r="M16" s="10"/>
      <c r="N16" s="10"/>
      <c r="O16" s="11"/>
      <c r="P16" s="10"/>
      <c r="Q16" s="10"/>
      <c r="R16" s="12">
        <v>1</v>
      </c>
      <c r="S16" s="10"/>
      <c r="T16" s="11"/>
      <c r="U16" s="10"/>
      <c r="V16" s="10"/>
      <c r="W16" s="10"/>
      <c r="X16" s="13">
        <f>COUNTIF(B16:W16,1)+COUNTIF(B16:W16,"IC")</f>
      </c>
      <c r="Y16" s="10">
        <f>IF(COUNTIF(B16:W16,"M")&gt;0,"N/A absence longue",IF(X16&gt;=2,"Atteint","Sous objectif"))</f>
      </c>
    </row>
    <row r="17" ht="18" customHeight="1" spans="1:25" x14ac:dyDescent="0.25">
      <c r="A17" s="9" t="s">
        <v>41</v>
      </c>
      <c r="B17" s="10"/>
      <c r="C17" s="10"/>
      <c r="D17" s="10"/>
      <c r="E17" s="11"/>
      <c r="F17" s="12">
        <v>1</v>
      </c>
      <c r="G17" s="10"/>
      <c r="H17" s="10"/>
      <c r="I17" s="10"/>
      <c r="J17" s="11"/>
      <c r="K17" s="10"/>
      <c r="L17" s="10"/>
      <c r="M17" s="10"/>
      <c r="N17" s="10"/>
      <c r="O17" s="17" t="s">
        <v>9</v>
      </c>
      <c r="P17" s="10"/>
      <c r="Q17" s="16" t="s">
        <v>9</v>
      </c>
      <c r="R17" s="10"/>
      <c r="S17" s="10"/>
      <c r="T17" s="11"/>
      <c r="U17" s="10"/>
      <c r="V17" s="10"/>
      <c r="W17" s="10"/>
      <c r="X17" s="13">
        <f>COUNTIF(B17:W17,1)+COUNTIF(B17:W17,"IC")</f>
      </c>
      <c r="Y17" s="10">
        <f>IF(COUNTIF(B17:W17,"M")&gt;0,"N/A absence longue",IF(X17&gt;=2,"Atteint","Sous objectif"))</f>
      </c>
    </row>
    <row r="18" ht="18" customHeight="1" spans="1:25" x14ac:dyDescent="0.25">
      <c r="A18" s="9" t="s">
        <v>47</v>
      </c>
      <c r="B18" s="10"/>
      <c r="C18" s="10"/>
      <c r="D18" s="10"/>
      <c r="E18" s="11"/>
      <c r="F18" s="12">
        <v>1</v>
      </c>
      <c r="G18" s="10"/>
      <c r="H18" s="10"/>
      <c r="I18" s="10"/>
      <c r="J18" s="11"/>
      <c r="K18" s="10"/>
      <c r="L18" s="10"/>
      <c r="M18" s="10"/>
      <c r="N18" s="10"/>
      <c r="O18" s="11"/>
      <c r="P18" s="10"/>
      <c r="Q18" s="10"/>
      <c r="R18" s="12">
        <v>1</v>
      </c>
      <c r="S18" s="10"/>
      <c r="T18" s="11"/>
      <c r="U18" s="10"/>
      <c r="V18" s="10"/>
      <c r="W18" s="10"/>
      <c r="X18" s="13">
        <f>COUNTIF(B18:W18,1)+COUNTIF(B18:W18,"IC")</f>
      </c>
      <c r="Y18" s="10">
        <f>IF(COUNTIF(B18:W18,"M")&gt;0,"N/A absence longue",IF(X18&gt;=2,"Atteint","Sous objectif"))</f>
      </c>
    </row>
    <row r="19" ht="18" customHeight="1" spans="1:25" x14ac:dyDescent="0.25">
      <c r="A19" s="9" t="s">
        <v>55</v>
      </c>
      <c r="B19" s="10"/>
      <c r="C19" s="10"/>
      <c r="D19" s="10"/>
      <c r="E19" s="11"/>
      <c r="F19" s="12">
        <v>1</v>
      </c>
      <c r="G19" s="10"/>
      <c r="H19" s="10"/>
      <c r="I19" s="10"/>
      <c r="J19" s="11"/>
      <c r="K19" s="10"/>
      <c r="L19" s="10"/>
      <c r="M19" s="10"/>
      <c r="N19" s="10"/>
      <c r="O19" s="11"/>
      <c r="P19" s="10"/>
      <c r="Q19" s="10"/>
      <c r="R19" s="12">
        <v>1</v>
      </c>
      <c r="S19" s="10"/>
      <c r="T19" s="11"/>
      <c r="U19" s="10"/>
      <c r="V19" s="10"/>
      <c r="W19" s="10"/>
      <c r="X19" s="13">
        <f>COUNTIF(B19:W19,1)+COUNTIF(B19:W19,"IC")</f>
      </c>
      <c r="Y19" s="10">
        <f>IF(COUNTIF(B19:W19,"M")&gt;0,"N/A absence longue",IF(X19&gt;=2,"Atteint","Sous objectif"))</f>
      </c>
    </row>
    <row r="20" ht="18" customHeight="1" spans="1:25" x14ac:dyDescent="0.25">
      <c r="A20" s="9" t="s">
        <v>46</v>
      </c>
      <c r="B20" s="10"/>
      <c r="C20" s="10"/>
      <c r="D20" s="10"/>
      <c r="E20" s="11"/>
      <c r="F20" s="10"/>
      <c r="G20" s="10"/>
      <c r="H20" s="12">
        <v>1</v>
      </c>
      <c r="I20" s="10"/>
      <c r="J20" s="11"/>
      <c r="K20" s="10"/>
      <c r="L20" s="12">
        <v>1</v>
      </c>
      <c r="M20" s="10"/>
      <c r="N20" s="10"/>
      <c r="O20" s="11"/>
      <c r="P20" s="10"/>
      <c r="Q20" s="10"/>
      <c r="R20" s="12">
        <v>1</v>
      </c>
      <c r="S20" s="10"/>
      <c r="T20" s="11"/>
      <c r="U20" s="10"/>
      <c r="V20" s="10"/>
      <c r="W20" s="10"/>
      <c r="X20" s="13">
        <f>COUNTIF(B20:W20,1)+COUNTIF(B20:W20,"IC")</f>
      </c>
      <c r="Y20" s="10">
        <f>IF(COUNTIF(B20:W20,"M")&gt;0,"N/A absence longue",IF(X20&gt;=2,"Atteint","Sous objectif"))</f>
      </c>
    </row>
    <row r="21" ht="18" customHeight="1" spans="1:25" x14ac:dyDescent="0.25">
      <c r="A21" s="9" t="s">
        <v>38</v>
      </c>
      <c r="B21" s="10"/>
      <c r="C21" s="10"/>
      <c r="D21" s="10"/>
      <c r="E21" s="11"/>
      <c r="F21" s="12">
        <v>1</v>
      </c>
      <c r="G21" s="10"/>
      <c r="H21" s="10"/>
      <c r="I21" s="10"/>
      <c r="J21" s="18">
        <v>1</v>
      </c>
      <c r="K21" s="10"/>
      <c r="L21" s="10"/>
      <c r="M21" s="10"/>
      <c r="N21" s="10"/>
      <c r="O21" s="11"/>
      <c r="P21" s="10"/>
      <c r="Q21" s="10"/>
      <c r="R21" s="12">
        <v>1</v>
      </c>
      <c r="S21" s="10"/>
      <c r="T21" s="11"/>
      <c r="U21" s="10"/>
      <c r="V21" s="10"/>
      <c r="W21" s="10"/>
      <c r="X21" s="13">
        <f>COUNTIF(B21:W21,1)+COUNTIF(B21:W21,"IC")</f>
      </c>
      <c r="Y21" s="10">
        <f>IF(COUNTIF(B21:W21,"M")&gt;0,"N/A absence longue",IF(X21&gt;=2,"Atteint","Sous objectif"))</f>
      </c>
    </row>
    <row r="22" ht="18" customHeight="1" spans="1:25" x14ac:dyDescent="0.25">
      <c r="A22" s="9" t="s">
        <v>39</v>
      </c>
      <c r="B22" s="10"/>
      <c r="C22" s="10"/>
      <c r="D22" s="10"/>
      <c r="E22" s="11"/>
      <c r="F22" s="10"/>
      <c r="G22" s="10"/>
      <c r="H22" s="10"/>
      <c r="I22" s="10"/>
      <c r="J22" s="11"/>
      <c r="K22" s="10"/>
      <c r="L22" s="10"/>
      <c r="M22" s="12">
        <v>1</v>
      </c>
      <c r="N22" s="10"/>
      <c r="O22" s="11"/>
      <c r="P22" s="10"/>
      <c r="Q22" s="10"/>
      <c r="R22" s="12">
        <v>1</v>
      </c>
      <c r="S22" s="10"/>
      <c r="T22" s="11"/>
      <c r="U22" s="10"/>
      <c r="V22" s="10"/>
      <c r="W22" s="10"/>
      <c r="X22" s="13">
        <f>COUNTIF(B22:W22,1)+COUNTIF(B22:W22,"IC")</f>
      </c>
      <c r="Y22" s="10">
        <f>IF(COUNTIF(B22:W22,"M")&gt;0,"N/A absence longue",IF(X22&gt;=2,"Atteint","Sous objectif"))</f>
      </c>
    </row>
    <row r="23" ht="18" customHeight="1" spans="1:25" x14ac:dyDescent="0.25">
      <c r="A23" s="9" t="s">
        <v>35</v>
      </c>
      <c r="B23" s="10"/>
      <c r="C23" s="10"/>
      <c r="D23" s="10"/>
      <c r="E23" s="11"/>
      <c r="F23" s="10"/>
      <c r="G23" s="10"/>
      <c r="H23" s="10"/>
      <c r="I23" s="10"/>
      <c r="J23" s="11"/>
      <c r="K23" s="10"/>
      <c r="L23" s="10"/>
      <c r="M23" s="12">
        <v>1</v>
      </c>
      <c r="N23" s="10"/>
      <c r="O23" s="11"/>
      <c r="P23" s="10"/>
      <c r="Q23" s="10"/>
      <c r="R23" s="12">
        <v>1</v>
      </c>
      <c r="S23" s="10"/>
      <c r="T23" s="11"/>
      <c r="U23" s="10"/>
      <c r="V23" s="10"/>
      <c r="W23" s="10"/>
      <c r="X23" s="13">
        <f>COUNTIF(B23:W23,1)+COUNTIF(B23:W23,"IC")</f>
      </c>
      <c r="Y23" s="10">
        <f>IF(COUNTIF(B23:W23,"M")&gt;0,"N/A absence longue",IF(X23&gt;=2,"Atteint","Sous objectif"))</f>
      </c>
    </row>
    <row r="24" ht="18" customHeight="1" spans="1:25" x14ac:dyDescent="0.25">
      <c r="A24" s="9" t="s">
        <v>42</v>
      </c>
      <c r="B24" s="10"/>
      <c r="C24" s="16" t="s">
        <v>9</v>
      </c>
      <c r="D24" s="10"/>
      <c r="E24" s="11"/>
      <c r="F24" s="10"/>
      <c r="G24" s="10"/>
      <c r="H24" s="10"/>
      <c r="I24" s="10"/>
      <c r="J24" s="11"/>
      <c r="K24" s="10"/>
      <c r="L24" s="10"/>
      <c r="M24" s="10"/>
      <c r="N24" s="10"/>
      <c r="O24" s="11"/>
      <c r="P24" s="10"/>
      <c r="Q24" s="10"/>
      <c r="R24" s="12">
        <v>1</v>
      </c>
      <c r="S24" s="10"/>
      <c r="T24" s="11"/>
      <c r="U24" s="10"/>
      <c r="V24" s="10"/>
      <c r="W24" s="10"/>
      <c r="X24" s="13">
        <f>COUNTIF(B24:W24,1)+COUNTIF(B24:W24,"IC")</f>
      </c>
      <c r="Y24" s="10">
        <f>IF(COUNTIF(B24:W24,"M")&gt;0,"N/A absence longue",IF(X24&gt;=2,"Atteint","Sous objectif"))</f>
      </c>
    </row>
    <row r="25" ht="18" customHeight="1" spans="1:25" x14ac:dyDescent="0.25">
      <c r="A25" s="9" t="s">
        <v>45</v>
      </c>
      <c r="B25" s="10"/>
      <c r="C25" s="10"/>
      <c r="D25" s="10"/>
      <c r="E25" s="11"/>
      <c r="F25" s="10"/>
      <c r="G25" s="10"/>
      <c r="H25" s="10"/>
      <c r="I25" s="10"/>
      <c r="J25" s="18">
        <v>1</v>
      </c>
      <c r="K25" s="10"/>
      <c r="L25" s="10"/>
      <c r="M25" s="10"/>
      <c r="N25" s="10"/>
      <c r="O25" s="11"/>
      <c r="P25" s="10"/>
      <c r="Q25" s="10"/>
      <c r="R25" s="12">
        <v>1</v>
      </c>
      <c r="S25" s="10"/>
      <c r="T25" s="11"/>
      <c r="U25" s="10"/>
      <c r="V25" s="10"/>
      <c r="W25" s="10"/>
      <c r="X25" s="13">
        <f>COUNTIF(B25:W25,1)+COUNTIF(B25:W25,"IC")</f>
      </c>
      <c r="Y25" s="10">
        <f>IF(COUNTIF(B25:W25,"M")&gt;0,"N/A absence longue",IF(X25&gt;=2,"Atteint","Sous objectif"))</f>
      </c>
    </row>
    <row r="26" ht="18" customHeight="1" spans="1:25" x14ac:dyDescent="0.25">
      <c r="A26" s="9" t="s">
        <v>53</v>
      </c>
      <c r="B26" s="10"/>
      <c r="C26" s="10"/>
      <c r="D26" s="10"/>
      <c r="E26" s="11"/>
      <c r="F26" s="10"/>
      <c r="G26" s="10"/>
      <c r="H26" s="10"/>
      <c r="I26" s="10"/>
      <c r="J26" s="11"/>
      <c r="K26" s="10"/>
      <c r="L26" s="10"/>
      <c r="M26" s="10"/>
      <c r="N26" s="10"/>
      <c r="O26" s="11"/>
      <c r="P26" s="10"/>
      <c r="Q26" s="10"/>
      <c r="R26" s="12">
        <v>1</v>
      </c>
      <c r="S26" s="10"/>
      <c r="T26" s="11"/>
      <c r="U26" s="10"/>
      <c r="V26" s="10"/>
      <c r="W26" s="10"/>
      <c r="X26" s="13">
        <f>COUNTIF(B26:W26,1)+COUNTIF(B26:W26,"IC")</f>
      </c>
      <c r="Y26" s="10">
        <f>IF(COUNTIF(B26:W26,"M")&gt;0,"N/A absence longue",IF(X26&gt;=2,"Atteint","Sous objectif"))</f>
      </c>
    </row>
    <row r="27" ht="18" customHeight="1" spans="1:25" x14ac:dyDescent="0.25">
      <c r="A27" s="9" t="s">
        <v>54</v>
      </c>
      <c r="B27" s="10"/>
      <c r="C27" s="10"/>
      <c r="D27" s="10"/>
      <c r="E27" s="11"/>
      <c r="F27" s="10"/>
      <c r="G27" s="10"/>
      <c r="H27" s="10"/>
      <c r="I27" s="10"/>
      <c r="J27" s="11"/>
      <c r="K27" s="10"/>
      <c r="L27" s="10"/>
      <c r="M27" s="10"/>
      <c r="N27" s="10"/>
      <c r="O27" s="11"/>
      <c r="P27" s="10"/>
      <c r="Q27" s="10"/>
      <c r="R27" s="12">
        <v>1</v>
      </c>
      <c r="S27" s="10"/>
      <c r="T27" s="11"/>
      <c r="U27" s="10"/>
      <c r="V27" s="10"/>
      <c r="W27" s="10"/>
      <c r="X27" s="13">
        <f>COUNTIF(B27:W27,1)+COUNTIF(B27:W27,"IC")</f>
      </c>
      <c r="Y27" s="10">
        <f>IF(COUNTIF(B27:W27,"M")&gt;0,"N/A absence longue",IF(X27&gt;=2,"Atteint","Sous objectif"))</f>
      </c>
    </row>
    <row r="28" ht="18" customHeight="1" spans="1:25" x14ac:dyDescent="0.25">
      <c r="A28" s="9" t="s">
        <v>51</v>
      </c>
      <c r="B28" s="10"/>
      <c r="C28" s="10"/>
      <c r="D28" s="10"/>
      <c r="E28" s="11"/>
      <c r="F28" s="12">
        <v>1</v>
      </c>
      <c r="G28" s="10"/>
      <c r="H28" s="10"/>
      <c r="I28" s="10"/>
      <c r="J28" s="11"/>
      <c r="K28" s="12">
        <v>1</v>
      </c>
      <c r="L28" s="10"/>
      <c r="M28" s="10"/>
      <c r="N28" s="10"/>
      <c r="O28" s="11"/>
      <c r="P28" s="10"/>
      <c r="Q28" s="10"/>
      <c r="R28" s="12">
        <v>1</v>
      </c>
      <c r="S28" s="10"/>
      <c r="T28" s="11"/>
      <c r="U28" s="10"/>
      <c r="V28" s="10"/>
      <c r="W28" s="10"/>
      <c r="X28" s="13">
        <f>COUNTIF(B28:W28,1)+COUNTIF(B28:W28,"IC")</f>
      </c>
      <c r="Y28" s="10">
        <f>IF(COUNTIF(B28:W28,"M")&gt;0,"N/A absence longue",IF(X28&gt;=2,"Atteint","Sous objectif"))</f>
      </c>
    </row>
    <row r="29" ht="18" customHeight="1" spans="1:25" x14ac:dyDescent="0.25">
      <c r="A29" s="9" t="s">
        <v>34</v>
      </c>
      <c r="B29" s="10"/>
      <c r="C29" s="10"/>
      <c r="D29" s="10"/>
      <c r="E29" s="11"/>
      <c r="F29" s="12">
        <v>1</v>
      </c>
      <c r="G29" s="10"/>
      <c r="H29" s="10"/>
      <c r="I29" s="10"/>
      <c r="J29" s="11"/>
      <c r="K29" s="12">
        <v>1</v>
      </c>
      <c r="L29" s="10"/>
      <c r="M29" s="10"/>
      <c r="N29" s="10"/>
      <c r="O29" s="11"/>
      <c r="P29" s="12">
        <v>1</v>
      </c>
      <c r="Q29" s="10"/>
      <c r="R29" s="12">
        <v>1</v>
      </c>
      <c r="S29" s="10"/>
      <c r="T29" s="11"/>
      <c r="U29" s="10"/>
      <c r="V29" s="10"/>
      <c r="W29" s="10"/>
      <c r="X29" s="13">
        <f>COUNTIF(B29:W29,1)+COUNTIF(B29:W29,"IC")</f>
      </c>
      <c r="Y29" s="10">
        <f>IF(COUNTIF(B29:W29,"M")&gt;0,"N/A absence longue",IF(X29&gt;=2,"Atteint","Sous objectif"))</f>
      </c>
    </row>
    <row r="31" spans="1:1" x14ac:dyDescent="0.25">
      <c r="A31" s="19" t="s">
        <v>71</v>
      </c>
    </row>
    <row r="32" spans="1:23" x14ac:dyDescent="0.25">
      <c r="A32" s="20" t="s">
        <v>65</v>
      </c>
      <c r="B32" s="10"/>
      <c r="C32" s="10"/>
      <c r="D32" s="10"/>
      <c r="E32" s="11"/>
      <c r="F32" s="10"/>
      <c r="G32" s="10"/>
      <c r="H32" s="10"/>
      <c r="I32" s="10"/>
      <c r="J32" s="11"/>
      <c r="K32" s="10"/>
      <c r="L32" s="10"/>
      <c r="M32" s="10"/>
      <c r="N32" s="10"/>
      <c r="O32" s="11"/>
      <c r="P32" s="10"/>
      <c r="Q32" s="10"/>
      <c r="R32" s="21" t="s">
        <v>18</v>
      </c>
      <c r="S32" s="10"/>
      <c r="T32" s="11"/>
      <c r="U32" s="10"/>
      <c r="V32" s="10"/>
      <c r="W32" s="10"/>
    </row>
    <row r="33" spans="1:23" x14ac:dyDescent="0.25">
      <c r="A33" s="20" t="s">
        <v>63</v>
      </c>
      <c r="B33" s="10"/>
      <c r="C33" s="10"/>
      <c r="D33" s="10"/>
      <c r="E33" s="11"/>
      <c r="F33" s="10"/>
      <c r="G33" s="10"/>
      <c r="H33" s="10"/>
      <c r="I33" s="10"/>
      <c r="J33" s="11"/>
      <c r="K33" s="10"/>
      <c r="L33" s="10"/>
      <c r="M33" s="10"/>
      <c r="N33" s="10"/>
      <c r="O33" s="11"/>
      <c r="P33" s="10"/>
      <c r="Q33" s="10"/>
      <c r="R33" s="10"/>
      <c r="S33" s="10"/>
      <c r="T33" s="11"/>
      <c r="U33" s="10"/>
      <c r="V33" s="10"/>
      <c r="W33" s="10"/>
    </row>
    <row r="34" spans="1:23" x14ac:dyDescent="0.25">
      <c r="A34" s="20" t="s">
        <v>72</v>
      </c>
      <c r="B34" s="10"/>
      <c r="C34" s="10"/>
      <c r="D34" s="10"/>
      <c r="E34" s="11"/>
      <c r="F34" s="10"/>
      <c r="G34" s="10"/>
      <c r="H34" s="10"/>
      <c r="I34" s="10"/>
      <c r="J34" s="11"/>
      <c r="K34" s="10"/>
      <c r="L34" s="10"/>
      <c r="M34" s="10"/>
      <c r="N34" s="10"/>
      <c r="O34" s="11"/>
      <c r="P34" s="10"/>
      <c r="Q34" s="10"/>
      <c r="R34" s="10"/>
      <c r="S34" s="10"/>
      <c r="T34" s="11"/>
      <c r="U34" s="10"/>
      <c r="V34" s="10"/>
      <c r="W34" s="10"/>
    </row>
  </sheetData>
  <mergeCells count="1">
    <mergeCell ref="A1:Y1"/>
  </mergeCells>
  <conditionalFormatting sqref="B4:W29">
    <cfRule type="cellIs" dxfId="8" priority="1" operator="equal">
      <formula>1</formula>
    </cfRule>
    <cfRule type="cellIs" dxfId="9" priority="2" operator="equal">
      <formula>"IC"</formula>
    </cfRule>
    <cfRule type="cellIs" dxfId="10" priority="3" operator="equal">
      <formula>"M"</formula>
    </cfRule>
  </conditionalFormatting>
  <conditionalFormatting sqref="B32:W34">
    <cfRule type="cellIs" dxfId="11" priority="1" operator="equal">
      <formula>"X"</formula>
    </cfRule>
  </conditionalFormatting>
  <dataValidations count="2">
    <dataValidation type="list" allowBlank="1" showErrorMessage="1" errorTitle="Valeur invalide" error="Valeurs autorisées : X ou vide." sqref="B32:W34">
      <formula1>"X"</formula1>
    </dataValidation>
    <dataValidation type="list" allowBlank="1" showErrorMessage="1" errorTitle="Valeur invalide" error="Valeurs autorisées : 1, IC, M ou vide." sqref="B4:W29">
      <formula1>"1,IC,M"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/>
  </sheetViews>
  <sheetFormatPr customHeight="1"/>
  <sheetData>
    <row r="1" spans="1:6" x14ac:dyDescent="0.25">
      <c r="A1" s="1" t="s">
        <v>75</v>
      </c>
      <c r="B1"/>
      <c r="C1"/>
      <c r="D1"/>
      <c r="E1"/>
      <c r="F1"/>
    </row>
    <row r="3" spans="1:6" x14ac:dyDescent="0.25">
      <c r="A3" s="1" t="s">
        <v>76</v>
      </c>
      <c r="B3"/>
      <c r="C3"/>
      <c r="D3"/>
      <c r="E3"/>
      <c r="F3"/>
    </row>
    <row r="5" spans="1:6" x14ac:dyDescent="0.25">
      <c r="A5" s="1" t="s">
        <v>77</v>
      </c>
      <c r="B5"/>
      <c r="C5"/>
      <c r="D5"/>
      <c r="E5"/>
      <c r="F5"/>
    </row>
    <row r="7" spans="1:6" x14ac:dyDescent="0.25">
      <c r="A7" s="1" t="s">
        <v>60</v>
      </c>
      <c r="B7" s="1" t="s">
        <v>78</v>
      </c>
      <c r="C7" s="1" t="s">
        <v>79</v>
      </c>
      <c r="D7" s="1" t="s">
        <v>30</v>
      </c>
      <c r="E7" s="1" t="s">
        <v>80</v>
      </c>
      <c r="F7" s="1" t="s">
        <v>81</v>
      </c>
    </row>
  </sheetData>
  <mergeCells count="3">
    <mergeCell ref="A1:F1"/>
    <mergeCell ref="A3:F3"/>
    <mergeCell ref="A5:F5"/>
  </mergeCells>
  <pageMargins left="0.75" right="0.75" top="1" bottom="1" header="0.511811023622047" footer="0.51181102362204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 zoomScale="100" zoomScaleNormal="100"/>
  </sheetViews>
  <sheetFormatPr customHeight="1"/>
  <sheetData>
    <row r="1" spans="1:8" x14ac:dyDescent="0.25">
      <c r="A1" s="1" t="s">
        <v>82</v>
      </c>
      <c r="B1"/>
      <c r="C1"/>
      <c r="D1"/>
      <c r="E1"/>
      <c r="F1"/>
      <c r="G1"/>
      <c r="H1"/>
    </row>
    <row r="3" spans="1:8" x14ac:dyDescent="0.25">
      <c r="A3" s="1" t="s">
        <v>83</v>
      </c>
      <c r="B3"/>
      <c r="C3"/>
      <c r="D3"/>
      <c r="E3"/>
      <c r="F3"/>
      <c r="G3"/>
      <c r="H3"/>
    </row>
    <row r="5" spans="1:7" x14ac:dyDescent="0.25">
      <c r="A5" s="1" t="s">
        <v>84</v>
      </c>
      <c r="B5" s="1" t="s">
        <v>85</v>
      </c>
      <c r="C5" s="1" t="s">
        <v>86</v>
      </c>
      <c r="D5" s="1" t="s">
        <v>87</v>
      </c>
      <c r="E5" s="1" t="s">
        <v>88</v>
      </c>
      <c r="F5" s="1" t="s">
        <v>89</v>
      </c>
      <c r="G5" s="1" t="s">
        <v>90</v>
      </c>
    </row>
    <row r="6" spans="1:7" x14ac:dyDescent="0.25">
      <c r="A6" s="1" t="s">
        <v>91</v>
      </c>
      <c r="B6" s="1">
        <f>COUNTIF('Saisie 2026-02'!W4:W29,"Atteint")+COUNTIF('Saisie 2026-02'!W4:W29,"Sous objectif")</f>
        <v>25</v>
      </c>
      <c r="C6" s="1">
        <f>SUM('Saisie 2026-02'!V4:V29)</f>
        <v>73</v>
      </c>
      <c r="D6" s="1">
        <f>IFERROR(COUNTIF('Saisie 2026-02'!W4:W29,"Atteint")/(COUNTIF('Saisie 2026-02'!W4:W29,"Atteint")+COUNTIF('Saisie 2026-02'!W4:W29,"Sous objectif")),0)</f>
        <v>0.6</v>
      </c>
      <c r="E6" s="1">
        <f>IFERROR(SUM('Saisie 2026-02'!V4:V29)/(COUNTIF('Saisie 2026-02'!W4:W29,"Atteint")+COUNTIF('Saisie 2026-02'!W4:W29,"Sous objectif")),0)</f>
        <v>2.92</v>
      </c>
      <c r="F6" s="1">
        <f>COUNTIF('Saisie 2026-02'!V4:V29,"&gt;=1")</f>
        <v>20</v>
      </c>
      <c r="G6" s="1" t="s">
        <v>92</v>
      </c>
    </row>
    <row r="7" spans="1:7" x14ac:dyDescent="0.25">
      <c r="A7" s="1" t="s">
        <v>93</v>
      </c>
      <c r="B7" s="1">
        <f>COUNTIF('Saisie 2026-03'!Y4:Y29,"Atteint")+COUNTIF('Saisie 2026-03'!Y4:Y29,"Sous objectif")</f>
        <v>25</v>
      </c>
      <c r="C7" s="1">
        <f>SUM('Saisie 2026-03'!X4:X29)</f>
        <v>72</v>
      </c>
      <c r="D7" s="1">
        <f>IFERROR(COUNTIF('Saisie 2026-03'!Y4:Y29,"Atteint")/(COUNTIF('Saisie 2026-03'!Y4:Y29,"Atteint")+COUNTIF('Saisie 2026-03'!Y4:Y29,"Sous objectif")),0)</f>
        <v>0.6</v>
      </c>
      <c r="E7" s="1">
        <f>IFERROR(SUM('Saisie 2026-03'!X4:X29)/(COUNTIF('Saisie 2026-03'!Y4:Y29,"Atteint")+COUNTIF('Saisie 2026-03'!Y4:Y29,"Sous objectif")),0)</f>
        <v>2.88</v>
      </c>
      <c r="F7" s="1">
        <f>COUNTIF('Saisie 2026-03'!X4:X29,"&gt;=1")</f>
        <v>23</v>
      </c>
      <c r="G7" s="1" t="s">
        <v>92</v>
      </c>
    </row>
    <row r="8" spans="1:7" x14ac:dyDescent="0.25">
      <c r="A8" s="1" t="s">
        <v>94</v>
      </c>
      <c r="B8" s="1">
        <f>COUNTIF('Saisie 2026-04'!Y4:Y29,"Atteint")+COUNTIF('Saisie 2026-04'!Y4:Y29,"Sous objectif")</f>
        <v>26</v>
      </c>
      <c r="C8" s="1">
        <f>SUM('Saisie 2026-04'!X4:X29)</f>
        <v>69</v>
      </c>
      <c r="D8" s="1">
        <f>IFERROR(COUNTIF('Saisie 2026-04'!Y4:Y29,"Atteint")/(COUNTIF('Saisie 2026-04'!Y4:Y29,"Atteint")+COUNTIF('Saisie 2026-04'!Y4:Y29,"Sous objectif")),0)</f>
        <v>0.769230769230769</v>
      </c>
      <c r="E8" s="1">
        <f>IFERROR(SUM('Saisie 2026-04'!X4:X29)/(COUNTIF('Saisie 2026-04'!Y4:Y29,"Atteint")+COUNTIF('Saisie 2026-04'!Y4:Y29,"Sous objectif")),0)</f>
        <v>2.65384615384615</v>
      </c>
      <c r="F8" s="1">
        <f>COUNTIF('Saisie 2026-04'!X4:X29,"&gt;=1")</f>
        <v>26</v>
      </c>
      <c r="G8" s="1" t="s">
        <v>92</v>
      </c>
    </row>
    <row r="10" spans="1:6" x14ac:dyDescent="0.25">
      <c r="A10" s="1" t="s">
        <v>95</v>
      </c>
      <c r="B10" s="1">
        <f>AVERAGE(B6:B8)</f>
        <v>25.3333333333333</v>
      </c>
      <c r="C10" s="1">
        <f>AVERAGE(C6:C8)</f>
        <v>71.3333333333333</v>
      </c>
      <c r="D10" s="1">
        <f>AVERAGE(D6:D8)</f>
        <v>0.656410256410256</v>
      </c>
      <c r="E10" s="1">
        <f>AVERAGE(E6:E8)</f>
        <v>2.81794871794872</v>
      </c>
      <c r="F10" s="1">
        <f>AVERAGE(F6:F8)</f>
        <v>23</v>
      </c>
    </row>
  </sheetData>
  <mergeCells count="2">
    <mergeCell ref="A1:H1"/>
    <mergeCell ref="A3:H3"/>
  </mergeCells>
  <pageMargins left="0.75" right="0.75" top="1" bottom="1" header="0.511811023622047" footer="0.51181102362204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/>
  </sheetViews>
  <sheetFormatPr customHeight="1"/>
  <sheetData>
    <row r="1" spans="1:6" x14ac:dyDescent="0.25">
      <c r="A1" s="1" t="s">
        <v>96</v>
      </c>
      <c r="B1"/>
      <c r="C1"/>
      <c r="D1"/>
      <c r="E1"/>
      <c r="F1"/>
    </row>
    <row r="3" spans="1:6" x14ac:dyDescent="0.25">
      <c r="A3" s="1" t="s">
        <v>97</v>
      </c>
      <c r="B3"/>
      <c r="C3"/>
      <c r="D3"/>
      <c r="E3"/>
      <c r="F3"/>
    </row>
    <row r="5" spans="1:6" x14ac:dyDescent="0.25">
      <c r="A5" s="1" t="s">
        <v>30</v>
      </c>
      <c r="B5" s="1" t="s">
        <v>98</v>
      </c>
      <c r="C5" s="1" t="s">
        <v>93</v>
      </c>
      <c r="D5" s="1" t="s">
        <v>99</v>
      </c>
      <c r="E5" s="1" t="s">
        <v>100</v>
      </c>
      <c r="F5" s="1" t="s">
        <v>101</v>
      </c>
    </row>
    <row r="6" spans="1:6" x14ac:dyDescent="0.25">
      <c r="A6" s="1" t="s">
        <v>43</v>
      </c>
      <c r="B6" s="1">
        <f>IF('Saisie 2026-02'!W4="N/A (absence longue)","M",'Saisie 2026-02'!V4)</f>
        <v>3</v>
      </c>
      <c r="C6" s="1">
        <f>IF('Saisie 2026-03'!Y4="N/A (absence longue)","M",'Saisie 2026-03'!X4)</f>
        <v>3</v>
      </c>
      <c r="D6" s="1">
        <f>IF('Saisie 2026-04'!Y4="N/A (absence longue)","M",'Saisie 2026-04'!X4)</f>
        <v>1</v>
      </c>
      <c r="E6" s="1">
        <f>COUNTIF(B6:D6,"&gt;=2")</f>
        <v>2</v>
      </c>
      <c r="F6" s="1" t="str">
        <f>IF(E6=3,"3/3 ✓",IF(E6=2,"2/3",IF(E6=1,"1/3 ⚠",IF(E6=0,"0/3 ⚠⚠","-"))))</f>
        <v>2/3</v>
      </c>
    </row>
    <row r="7" spans="1:6" x14ac:dyDescent="0.25">
      <c r="A7" s="1" t="s">
        <v>58</v>
      </c>
      <c r="B7" s="1" t="str">
        <f>IF('Saisie 2026-02'!W5="N/A (absence longue)","M",'Saisie 2026-02'!V5)</f>
        <v>M</v>
      </c>
      <c r="C7" s="1" t="str">
        <f>IF('Saisie 2026-03'!Y5="N/A (absence longue)","M",'Saisie 2026-03'!X5)</f>
        <v>M</v>
      </c>
      <c r="D7" s="1">
        <f>IF('Saisie 2026-04'!Y5="N/A (absence longue)","M",'Saisie 2026-04'!X5)</f>
        <v>8</v>
      </c>
      <c r="E7" s="1">
        <f>COUNTIF(B7:D7,"&gt;=2")</f>
        <v>1</v>
      </c>
      <c r="F7" s="1" t="str">
        <f>IF(E7=3,"3/3 ✓",IF(E7=2,"2/3",IF(E7=1,"1/3 ⚠",IF(E7=0,"0/3 ⚠⚠","-"))))</f>
        <v>1/3 ⚠</v>
      </c>
    </row>
    <row r="8" spans="1:6" x14ac:dyDescent="0.25">
      <c r="A8" s="1" t="s">
        <v>40</v>
      </c>
      <c r="B8" s="1">
        <f>IF('Saisie 2026-02'!W6="N/A (absence longue)","M",'Saisie 2026-02'!V6)</f>
        <v>1</v>
      </c>
      <c r="C8" s="1">
        <f>IF('Saisie 2026-03'!Y6="N/A (absence longue)","M",'Saisie 2026-03'!X6)</f>
        <v>0</v>
      </c>
      <c r="D8" s="1">
        <f>IF('Saisie 2026-04'!Y6="N/A (absence longue)","M",'Saisie 2026-04'!X6)</f>
        <v>1</v>
      </c>
      <c r="E8" s="1">
        <f>COUNTIF(B8:D8,"&gt;=2")</f>
        <v>0</v>
      </c>
      <c r="F8" s="1" t="str">
        <f>IF(E8=3,"3/3 ✓",IF(E8=2,"2/3",IF(E8=1,"1/3 ⚠",IF(E8=0,"0/3 ⚠⚠","-"))))</f>
        <v>0/3 ⚠⚠</v>
      </c>
    </row>
    <row r="9" spans="1:6" x14ac:dyDescent="0.25">
      <c r="A9" s="1" t="s">
        <v>50</v>
      </c>
      <c r="B9" s="1">
        <f>IF('Saisie 2026-02'!W7="N/A (absence longue)","M",'Saisie 2026-02'!V7)</f>
        <v>5</v>
      </c>
      <c r="C9" s="1">
        <f>IF('Saisie 2026-03'!Y7="N/A (absence longue)","M",'Saisie 2026-03'!X7)</f>
        <v>6</v>
      </c>
      <c r="D9" s="1">
        <f>IF('Saisie 2026-04'!Y7="N/A (absence longue)","M",'Saisie 2026-04'!X7)</f>
        <v>3</v>
      </c>
      <c r="E9" s="1">
        <f>COUNTIF(B9:D9,"&gt;=2")</f>
        <v>3</v>
      </c>
      <c r="F9" s="1" t="str">
        <f>IF(E9=3,"3/3 ✓",IF(E9=2,"2/3",IF(E9=1,"1/3 ⚠",IF(E9=0,"0/3 ⚠⚠","-"))))</f>
        <v>3/3 ✓</v>
      </c>
    </row>
    <row r="10" spans="1:6" x14ac:dyDescent="0.25">
      <c r="A10" s="1" t="s">
        <v>49</v>
      </c>
      <c r="B10" s="1">
        <f>IF('Saisie 2026-02'!W8="N/A (absence longue)","M",'Saisie 2026-02'!V8)</f>
        <v>11</v>
      </c>
      <c r="C10" s="1">
        <f>IF('Saisie 2026-03'!Y8="N/A (absence longue)","M",'Saisie 2026-03'!X8)</f>
        <v>12</v>
      </c>
      <c r="D10" s="1">
        <f>IF('Saisie 2026-04'!Y8="N/A (absence longue)","M",'Saisie 2026-04'!X8)</f>
        <v>9</v>
      </c>
      <c r="E10" s="1">
        <f>COUNTIF(B10:D10,"&gt;=2")</f>
        <v>3</v>
      </c>
      <c r="F10" s="1" t="str">
        <f>IF(E10=3,"3/3 ✓",IF(E10=2,"2/3",IF(E10=1,"1/3 ⚠",IF(E10=0,"0/3 ⚠⚠","-"))))</f>
        <v>3/3 ✓</v>
      </c>
    </row>
    <row r="11" spans="1:6" x14ac:dyDescent="0.25">
      <c r="A11" s="1" t="s">
        <v>37</v>
      </c>
      <c r="B11" s="1">
        <f>IF('Saisie 2026-02'!W9="N/A (absence longue)","M",'Saisie 2026-02'!V9)</f>
        <v>1</v>
      </c>
      <c r="C11" s="1">
        <f>IF('Saisie 2026-03'!Y9="N/A (absence longue)","M",'Saisie 2026-03'!X9)</f>
        <v>1</v>
      </c>
      <c r="D11" s="1">
        <f>IF('Saisie 2026-04'!Y9="N/A (absence longue)","M",'Saisie 2026-04'!X9)</f>
        <v>2</v>
      </c>
      <c r="E11" s="1">
        <f>COUNTIF(B11:D11,"&gt;=2")</f>
        <v>1</v>
      </c>
      <c r="F11" s="1" t="str">
        <f>IF(E11=3,"3/3 ✓",IF(E11=2,"2/3",IF(E11=1,"1/3 ⚠",IF(E11=0,"0/3 ⚠⚠","-"))))</f>
        <v>1/3 ⚠</v>
      </c>
    </row>
    <row r="12" spans="1:6" x14ac:dyDescent="0.25">
      <c r="A12" s="1" t="s">
        <v>48</v>
      </c>
      <c r="B12" s="1">
        <f>IF('Saisie 2026-02'!W10="N/A (absence longue)","M",'Saisie 2026-02'!V10)</f>
        <v>0</v>
      </c>
      <c r="C12" s="1">
        <f>IF('Saisie 2026-03'!Y10="N/A (absence longue)","M",'Saisie 2026-03'!X10)</f>
        <v>2</v>
      </c>
      <c r="D12" s="1">
        <f>IF('Saisie 2026-04'!Y10="N/A (absence longue)","M",'Saisie 2026-04'!X10)</f>
        <v>2</v>
      </c>
      <c r="E12" s="1">
        <f>COUNTIF(B12:D12,"&gt;=2")</f>
        <v>2</v>
      </c>
      <c r="F12" s="1" t="str">
        <f>IF(E12=3,"3/3 ✓",IF(E12=2,"2/3",IF(E12=1,"1/3 ⚠",IF(E12=0,"0/3 ⚠⚠","-"))))</f>
        <v>2/3</v>
      </c>
    </row>
    <row r="13" spans="1:6" x14ac:dyDescent="0.25">
      <c r="A13" s="1" t="s">
        <v>36</v>
      </c>
      <c r="B13" s="1">
        <f>IF('Saisie 2026-02'!W11="N/A (absence longue)","M",'Saisie 2026-02'!V11)</f>
        <v>4</v>
      </c>
      <c r="C13" s="1">
        <f>IF('Saisie 2026-03'!Y11="N/A (absence longue)","M",'Saisie 2026-03'!X11)</f>
        <v>1</v>
      </c>
      <c r="D13" s="1">
        <f>IF('Saisie 2026-04'!Y11="N/A (absence longue)","M",'Saisie 2026-04'!X11)</f>
        <v>1</v>
      </c>
      <c r="E13" s="1">
        <f>COUNTIF(B13:D13,"&gt;=2")</f>
        <v>1</v>
      </c>
      <c r="F13" s="1" t="str">
        <f>IF(E13=3,"3/3 ✓",IF(E13=2,"2/3",IF(E13=1,"1/3 ⚠",IF(E13=0,"0/3 ⚠⚠","-"))))</f>
        <v>1/3 ⚠</v>
      </c>
    </row>
    <row r="14" spans="1:6" x14ac:dyDescent="0.25">
      <c r="A14" s="1" t="s">
        <v>33</v>
      </c>
      <c r="B14" s="1">
        <f>IF('Saisie 2026-02'!W12="N/A (absence longue)","M",'Saisie 2026-02'!V12)</f>
        <v>0</v>
      </c>
      <c r="C14" s="1">
        <f>IF('Saisie 2026-03'!Y12="N/A (absence longue)","M",'Saisie 2026-03'!X12)</f>
        <v>2</v>
      </c>
      <c r="D14" s="1">
        <f>IF('Saisie 2026-04'!Y12="N/A (absence longue)","M",'Saisie 2026-04'!X12)</f>
        <v>1</v>
      </c>
      <c r="E14" s="1">
        <f>COUNTIF(B14:D14,"&gt;=2")</f>
        <v>1</v>
      </c>
      <c r="F14" s="1" t="str">
        <f>IF(E14=3,"3/3 ✓",IF(E14=2,"2/3",IF(E14=1,"1/3 ⚠",IF(E14=0,"0/3 ⚠⚠","-"))))</f>
        <v>1/3 ⚠</v>
      </c>
    </row>
    <row r="15" spans="1:6" x14ac:dyDescent="0.25">
      <c r="A15" s="1" t="s">
        <v>56</v>
      </c>
      <c r="B15" s="1">
        <f>IF('Saisie 2026-02'!W13="N/A (absence longue)","M",'Saisie 2026-02'!V13)</f>
        <v>3</v>
      </c>
      <c r="C15" s="1">
        <f>IF('Saisie 2026-03'!Y13="N/A (absence longue)","M",'Saisie 2026-03'!X13)</f>
        <v>2</v>
      </c>
      <c r="D15" s="1">
        <f>IF('Saisie 2026-04'!Y13="N/A (absence longue)","M",'Saisie 2026-04'!X13)</f>
        <v>2</v>
      </c>
      <c r="E15" s="1">
        <f>COUNTIF(B15:D15,"&gt;=2")</f>
        <v>3</v>
      </c>
      <c r="F15" s="1" t="str">
        <f>IF(E15=3,"3/3 ✓",IF(E15=2,"2/3",IF(E15=1,"1/3 ⚠",IF(E15=0,"0/3 ⚠⚠","-"))))</f>
        <v>3/3 ✓</v>
      </c>
    </row>
    <row r="16" spans="1:6" x14ac:dyDescent="0.25">
      <c r="A16" s="1" t="s">
        <v>57</v>
      </c>
      <c r="B16" s="1">
        <f>IF('Saisie 2026-02'!W14="N/A (absence longue)","M",'Saisie 2026-02'!V14)</f>
        <v>3</v>
      </c>
      <c r="C16" s="1">
        <f>IF('Saisie 2026-03'!Y14="N/A (absence longue)","M",'Saisie 2026-03'!X14)</f>
        <v>4</v>
      </c>
      <c r="D16" s="1">
        <f>IF('Saisie 2026-04'!Y14="N/A (absence longue)","M",'Saisie 2026-04'!X14)</f>
        <v>2</v>
      </c>
      <c r="E16" s="1">
        <f>COUNTIF(B16:D16,"&gt;=2")</f>
        <v>3</v>
      </c>
      <c r="F16" s="1" t="str">
        <f>IF(E16=3,"3/3 ✓",IF(E16=2,"2/3",IF(E16=1,"1/3 ⚠",IF(E16=0,"0/3 ⚠⚠","-"))))</f>
        <v>3/3 ✓</v>
      </c>
    </row>
    <row r="17" spans="1:6" x14ac:dyDescent="0.25">
      <c r="A17" s="1" t="s">
        <v>41</v>
      </c>
      <c r="B17" s="1">
        <f>IF('Saisie 2026-02'!W15="N/A (absence longue)","M",'Saisie 2026-02'!V15)</f>
        <v>0</v>
      </c>
      <c r="C17" s="1">
        <f>IF('Saisie 2026-03'!Y15="N/A (absence longue)","M",'Saisie 2026-03'!X15)</f>
        <v>1</v>
      </c>
      <c r="D17" s="1">
        <f>IF('Saisie 2026-04'!Y15="N/A (absence longue)","M",'Saisie 2026-04'!X15)</f>
        <v>3</v>
      </c>
      <c r="E17" s="1">
        <f>COUNTIF(B17:D17,"&gt;=2")</f>
        <v>1</v>
      </c>
      <c r="F17" s="1" t="str">
        <f>IF(E17=3,"3/3 ✓",IF(E17=2,"2/3",IF(E17=1,"1/3 ⚠",IF(E17=0,"0/3 ⚠⚠","-"))))</f>
        <v>1/3 ⚠</v>
      </c>
    </row>
    <row r="18" spans="1:6" x14ac:dyDescent="0.25">
      <c r="A18" s="1" t="s">
        <v>47</v>
      </c>
      <c r="B18" s="1">
        <f>IF('Saisie 2026-02'!W16="N/A (absence longue)","M",'Saisie 2026-02'!V16)</f>
        <v>3</v>
      </c>
      <c r="C18" s="1">
        <f>IF('Saisie 2026-03'!Y16="N/A (absence longue)","M",'Saisie 2026-03'!X16)</f>
        <v>1</v>
      </c>
      <c r="D18" s="1">
        <f>IF('Saisie 2026-04'!Y16="N/A (absence longue)","M",'Saisie 2026-04'!X16)</f>
        <v>2</v>
      </c>
      <c r="E18" s="1">
        <f>COUNTIF(B18:D18,"&gt;=2")</f>
        <v>2</v>
      </c>
      <c r="F18" s="1" t="str">
        <f>IF(E18=3,"3/3 ✓",IF(E18=2,"2/3",IF(E18=1,"1/3 ⚠",IF(E18=0,"0/3 ⚠⚠","-"))))</f>
        <v>2/3</v>
      </c>
    </row>
    <row r="19" spans="1:6" x14ac:dyDescent="0.25">
      <c r="A19" s="1" t="s">
        <v>55</v>
      </c>
      <c r="B19" s="1">
        <f>IF('Saisie 2026-02'!W17="N/A (absence longue)","M",'Saisie 2026-02'!V17)</f>
        <v>1</v>
      </c>
      <c r="C19" s="1">
        <f>IF('Saisie 2026-03'!Y17="N/A (absence longue)","M",'Saisie 2026-03'!X17)</f>
        <v>1</v>
      </c>
      <c r="D19" s="1">
        <f>IF('Saisie 2026-04'!Y17="N/A (absence longue)","M",'Saisie 2026-04'!X17)</f>
        <v>2</v>
      </c>
      <c r="E19" s="1">
        <f>COUNTIF(B19:D19,"&gt;=2")</f>
        <v>1</v>
      </c>
      <c r="F19" s="1" t="str">
        <f>IF(E19=3,"3/3 ✓",IF(E19=2,"2/3",IF(E19=1,"1/3 ⚠",IF(E19=0,"0/3 ⚠⚠","-"))))</f>
        <v>1/3 ⚠</v>
      </c>
    </row>
    <row r="20" spans="1:6" x14ac:dyDescent="0.25">
      <c r="A20" s="1" t="s">
        <v>52</v>
      </c>
      <c r="B20" s="1">
        <f>IF('Saisie 2026-02'!W18="N/A (absence longue)","M",'Saisie 2026-02'!V18)</f>
        <v>8</v>
      </c>
      <c r="C20" s="1">
        <f>IF('Saisie 2026-03'!Y18="N/A (absence longue)","M",'Saisie 2026-03'!X18)</f>
        <v>7</v>
      </c>
      <c r="D20" s="1">
        <f>IF('Saisie 2026-04'!Y18="N/A (absence longue)","M",'Saisie 2026-04'!X18)</f>
        <v>4</v>
      </c>
      <c r="E20" s="1">
        <f>COUNTIF(B20:D20,"&gt;=2")</f>
        <v>3</v>
      </c>
      <c r="F20" s="1" t="str">
        <f>IF(E20=3,"3/3 ✓",IF(E20=2,"2/3",IF(E20=1,"1/3 ⚠",IF(E20=0,"0/3 ⚠⚠","-"))))</f>
        <v>3/3 ✓</v>
      </c>
    </row>
    <row r="21" spans="1:6" x14ac:dyDescent="0.25">
      <c r="A21" s="1" t="s">
        <v>44</v>
      </c>
      <c r="B21" s="1">
        <f>IF('Saisie 2026-02'!W19="N/A (absence longue)","M",'Saisie 2026-02'!V19)</f>
        <v>2</v>
      </c>
      <c r="C21" s="1">
        <f>IF('Saisie 2026-03'!Y19="N/A (absence longue)","M",'Saisie 2026-03'!X19)</f>
        <v>5</v>
      </c>
      <c r="D21" s="1">
        <f>IF('Saisie 2026-04'!Y19="N/A (absence longue)","M",'Saisie 2026-04'!X19)</f>
        <v>3</v>
      </c>
      <c r="E21" s="1">
        <f>COUNTIF(B21:D21,"&gt;=2")</f>
        <v>3</v>
      </c>
      <c r="F21" s="1" t="str">
        <f>IF(E21=3,"3/3 ✓",IF(E21=2,"2/3",IF(E21=1,"1/3 ⚠",IF(E21=0,"0/3 ⚠⚠","-"))))</f>
        <v>3/3 ✓</v>
      </c>
    </row>
    <row r="22" spans="1:6" x14ac:dyDescent="0.25">
      <c r="A22" s="1" t="s">
        <v>46</v>
      </c>
      <c r="B22" s="1">
        <f>IF('Saisie 2026-02'!W20="N/A (absence longue)","M",'Saisie 2026-02'!V20)</f>
        <v>2</v>
      </c>
      <c r="C22" s="1">
        <f>IF('Saisie 2026-03'!Y20="N/A (absence longue)","M",'Saisie 2026-03'!X20)</f>
        <v>4</v>
      </c>
      <c r="D22" s="1">
        <f>IF('Saisie 2026-04'!Y20="N/A (absence longue)","M",'Saisie 2026-04'!X20)</f>
        <v>3</v>
      </c>
      <c r="E22" s="1">
        <f>COUNTIF(B22:D22,"&gt;=2")</f>
        <v>3</v>
      </c>
      <c r="F22" s="1" t="str">
        <f>IF(E22=3,"3/3 ✓",IF(E22=2,"2/3",IF(E22=1,"1/3 ⚠",IF(E22=0,"0/3 ⚠⚠","-"))))</f>
        <v>3/3 ✓</v>
      </c>
    </row>
    <row r="23" spans="1:6" x14ac:dyDescent="0.25">
      <c r="A23" s="1" t="s">
        <v>38</v>
      </c>
      <c r="B23" s="1">
        <f>IF('Saisie 2026-02'!W21="N/A (absence longue)","M",'Saisie 2026-02'!V21)</f>
        <v>2</v>
      </c>
      <c r="C23" s="1">
        <f>IF('Saisie 2026-03'!Y21="N/A (absence longue)","M",'Saisie 2026-03'!X21)</f>
        <v>4</v>
      </c>
      <c r="D23" s="1">
        <f>IF('Saisie 2026-04'!Y21="N/A (absence longue)","M",'Saisie 2026-04'!X21)</f>
        <v>3</v>
      </c>
      <c r="E23" s="1">
        <f>COUNTIF(B23:D23,"&gt;=2")</f>
        <v>3</v>
      </c>
      <c r="F23" s="1" t="str">
        <f>IF(E23=3,"3/3 ✓",IF(E23=2,"2/3",IF(E23=1,"1/3 ⚠",IF(E23=0,"0/3 ⚠⚠","-"))))</f>
        <v>3/3 ✓</v>
      </c>
    </row>
    <row r="24" spans="1:6" x14ac:dyDescent="0.25">
      <c r="A24" s="1" t="s">
        <v>39</v>
      </c>
      <c r="B24" s="1">
        <f>IF('Saisie 2026-02'!W22="N/A (absence longue)","M",'Saisie 2026-02'!V22)</f>
        <v>2</v>
      </c>
      <c r="C24" s="1">
        <f>IF('Saisie 2026-03'!Y22="N/A (absence longue)","M",'Saisie 2026-03'!X22)</f>
        <v>1</v>
      </c>
      <c r="D24" s="1">
        <f>IF('Saisie 2026-04'!Y22="N/A (absence longue)","M",'Saisie 2026-04'!X22)</f>
        <v>2</v>
      </c>
      <c r="E24" s="1">
        <f>COUNTIF(B24:D24,"&gt;=2")</f>
        <v>2</v>
      </c>
      <c r="F24" s="1" t="str">
        <f>IF(E24=3,"3/3 ✓",IF(E24=2,"2/3",IF(E24=1,"1/3 ⚠",IF(E24=0,"0/3 ⚠⚠","-"))))</f>
        <v>2/3</v>
      </c>
    </row>
    <row r="25" spans="1:6" x14ac:dyDescent="0.25">
      <c r="A25" s="1" t="s">
        <v>35</v>
      </c>
      <c r="B25" s="1">
        <f>IF('Saisie 2026-02'!W23="N/A (absence longue)","M",'Saisie 2026-02'!V23)</f>
        <v>1</v>
      </c>
      <c r="C25" s="1">
        <f>IF('Saisie 2026-03'!Y23="N/A (absence longue)","M",'Saisie 2026-03'!X23)</f>
        <v>1</v>
      </c>
      <c r="D25" s="1">
        <f>IF('Saisie 2026-04'!Y23="N/A (absence longue)","M",'Saisie 2026-04'!X23)</f>
        <v>2</v>
      </c>
      <c r="E25" s="1">
        <f>COUNTIF(B25:D25,"&gt;=2")</f>
        <v>1</v>
      </c>
      <c r="F25" s="1" t="str">
        <f>IF(E25=3,"3/3 ✓",IF(E25=2,"2/3",IF(E25=1,"1/3 ⚠",IF(E25=0,"0/3 ⚠⚠","-"))))</f>
        <v>1/3 ⚠</v>
      </c>
    </row>
    <row r="26" spans="1:6" x14ac:dyDescent="0.25">
      <c r="A26" s="1" t="s">
        <v>42</v>
      </c>
      <c r="B26" s="1">
        <f>IF('Saisie 2026-02'!W24="N/A (absence longue)","M",'Saisie 2026-02'!V24)</f>
        <v>0</v>
      </c>
      <c r="C26" s="1">
        <f>IF('Saisie 2026-03'!Y24="N/A (absence longue)","M",'Saisie 2026-03'!X24)</f>
        <v>4</v>
      </c>
      <c r="D26" s="1">
        <f>IF('Saisie 2026-04'!Y24="N/A (absence longue)","M",'Saisie 2026-04'!X24)</f>
        <v>2</v>
      </c>
      <c r="E26" s="1">
        <f>COUNTIF(B26:D26,"&gt;=2")</f>
        <v>2</v>
      </c>
      <c r="F26" s="1" t="str">
        <f>IF(E26=3,"3/3 ✓",IF(E26=2,"2/3",IF(E26=1,"1/3 ⚠",IF(E26=0,"0/3 ⚠⚠","-"))))</f>
        <v>2/3</v>
      </c>
    </row>
    <row r="27" spans="1:6" x14ac:dyDescent="0.25">
      <c r="A27" s="1" t="s">
        <v>45</v>
      </c>
      <c r="B27" s="1">
        <f>IF('Saisie 2026-02'!W25="N/A (absence longue)","M",'Saisie 2026-02'!V25)</f>
        <v>0</v>
      </c>
      <c r="C27" s="1">
        <f>IF('Saisie 2026-03'!Y25="N/A (absence longue)","M",'Saisie 2026-03'!X25)</f>
        <v>1</v>
      </c>
      <c r="D27" s="1">
        <f>IF('Saisie 2026-04'!Y25="N/A (absence longue)","M",'Saisie 2026-04'!X25)</f>
        <v>2</v>
      </c>
      <c r="E27" s="1">
        <f>COUNTIF(B27:D27,"&gt;=2")</f>
        <v>1</v>
      </c>
      <c r="F27" s="1" t="str">
        <f>IF(E27=3,"3/3 ✓",IF(E27=2,"2/3",IF(E27=1,"1/3 ⚠",IF(E27=0,"0/3 ⚠⚠","-"))))</f>
        <v>1/3 ⚠</v>
      </c>
    </row>
    <row r="28" spans="1:6" x14ac:dyDescent="0.25">
      <c r="A28" s="1" t="s">
        <v>53</v>
      </c>
      <c r="B28" s="1">
        <f>IF('Saisie 2026-02'!W26="N/A (absence longue)","M",'Saisie 2026-02'!V26)</f>
        <v>11</v>
      </c>
      <c r="C28" s="1">
        <f>IF('Saisie 2026-03'!Y26="N/A (absence longue)","M",'Saisie 2026-03'!X26)</f>
        <v>0</v>
      </c>
      <c r="D28" s="1">
        <f>IF('Saisie 2026-04'!Y26="N/A (absence longue)","M",'Saisie 2026-04'!X26)</f>
        <v>1</v>
      </c>
      <c r="E28" s="1">
        <f>COUNTIF(B28:D28,"&gt;=2")</f>
        <v>1</v>
      </c>
      <c r="F28" s="1" t="str">
        <f>IF(E28=3,"3/3 ✓",IF(E28=2,"2/3",IF(E28=1,"1/3 ⚠",IF(E28=0,"0/3 ⚠⚠","-"))))</f>
        <v>1/3 ⚠</v>
      </c>
    </row>
    <row r="29" spans="1:6" x14ac:dyDescent="0.25">
      <c r="A29" s="1" t="s">
        <v>54</v>
      </c>
      <c r="B29" s="1">
        <f>IF('Saisie 2026-02'!W27="N/A (absence longue)","M",'Saisie 2026-02'!V27)</f>
        <v>1</v>
      </c>
      <c r="C29" s="1">
        <f>IF('Saisie 2026-03'!Y27="N/A (absence longue)","M",'Saisie 2026-03'!X27)</f>
        <v>2</v>
      </c>
      <c r="D29" s="1">
        <f>IF('Saisie 2026-04'!Y27="N/A (absence longue)","M",'Saisie 2026-04'!X27)</f>
        <v>1</v>
      </c>
      <c r="E29" s="1">
        <f>COUNTIF(B29:D29,"&gt;=2")</f>
        <v>1</v>
      </c>
      <c r="F29" s="1" t="str">
        <f>IF(E29=3,"3/3 ✓",IF(E29=2,"2/3",IF(E29=1,"1/3 ⚠",IF(E29=0,"0/3 ⚠⚠","-"))))</f>
        <v>1/3 ⚠</v>
      </c>
    </row>
    <row r="30" spans="1:6" x14ac:dyDescent="0.25">
      <c r="A30" s="1" t="s">
        <v>51</v>
      </c>
      <c r="B30" s="1">
        <f>IF('Saisie 2026-02'!W28="N/A (absence longue)","M",'Saisie 2026-02'!V28)</f>
        <v>5</v>
      </c>
      <c r="C30" s="1">
        <f>IF('Saisie 2026-03'!Y28="N/A (absence longue)","M",'Saisie 2026-03'!X28)</f>
        <v>4</v>
      </c>
      <c r="D30" s="1">
        <f>IF('Saisie 2026-04'!Y28="N/A (absence longue)","M",'Saisie 2026-04'!X28)</f>
        <v>3</v>
      </c>
      <c r="E30" s="1">
        <f>COUNTIF(B30:D30,"&gt;=2")</f>
        <v>3</v>
      </c>
      <c r="F30" s="1" t="str">
        <f>IF(E30=3,"3/3 ✓",IF(E30=2,"2/3",IF(E30=1,"1/3 ⚠",IF(E30=0,"0/3 ⚠⚠","-"))))</f>
        <v>3/3 ✓</v>
      </c>
    </row>
    <row r="31" spans="1:6" x14ac:dyDescent="0.25">
      <c r="A31" s="1" t="s">
        <v>34</v>
      </c>
      <c r="B31" s="1">
        <f>IF('Saisie 2026-02'!W29="N/A (absence longue)","M",'Saisie 2026-02'!V29)</f>
        <v>4</v>
      </c>
      <c r="C31" s="1">
        <f>IF('Saisie 2026-03'!Y29="N/A (absence longue)","M",'Saisie 2026-03'!X29)</f>
        <v>3</v>
      </c>
      <c r="D31" s="1">
        <f>IF('Saisie 2026-04'!Y29="N/A (absence longue)","M",'Saisie 2026-04'!X29)</f>
        <v>4</v>
      </c>
      <c r="E31" s="1">
        <f>COUNTIF(B31:D31,"&gt;=2")</f>
        <v>3</v>
      </c>
      <c r="F31" s="1" t="str">
        <f>IF(E31=3,"3/3 ✓",IF(E31=2,"2/3",IF(E31=1,"1/3 ⚠",IF(E31=0,"0/3 ⚠⚠","-"))))</f>
        <v>3/3 ✓</v>
      </c>
    </row>
  </sheetData>
  <mergeCells count="2">
    <mergeCell ref="A1:F1"/>
    <mergeCell ref="A3:F3"/>
  </mergeCells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Convention</vt:lpstr>
      <vt:lpstr>Référentiel</vt:lpstr>
      <vt:lpstr>Événements</vt:lpstr>
      <vt:lpstr>Saisie 2026-02</vt:lpstr>
      <vt:lpstr>Saisie 2026-03</vt:lpstr>
      <vt:lpstr>Saisie 2026-04</vt:lpstr>
      <vt:lpstr>Log</vt:lpstr>
      <vt:lpstr>Synthèse mensuelle</vt:lpstr>
      <vt:lpstr>Synthèse consultant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lastModifiedBy>Unknown</cp:lastModifiedBy>
  <dcterms:created xsi:type="dcterms:W3CDTF">2026-04-27T09:55:04Z</dcterms:created>
  <dcterms:modified xsi:type="dcterms:W3CDTF">2026-04-27T09:59:49Z</dcterms:modified>
</cp:coreProperties>
</file>