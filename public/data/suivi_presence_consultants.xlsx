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25"/>
  <workbookPr/>
  <mc:AlternateContent xmlns:mc="http://schemas.openxmlformats.org/markup-compatibility/2006">
    <mc:Choice Requires="x15">
      <x15ac:absPath xmlns:x15ac="http://schemas.microsoft.com/office/spreadsheetml/2010/11/ac" url="/Users/jeremiekieffer/Projets/ikxo-presence-dashboard/public/data/"/>
    </mc:Choice>
  </mc:AlternateContent>
  <xr:revisionPtr revIDLastSave="0" documentId="13_ncr:1_{63E21437-5334-854B-BDD8-1481EEA4FE4E}" xr6:coauthVersionLast="47" xr6:coauthVersionMax="47" xr10:uidLastSave="{00000000-0000-0000-0000-000000000000}"/>
  <bookViews>
    <workbookView xWindow="0" yWindow="660" windowWidth="29400" windowHeight="17520" tabRatio="500" firstSheet="5" activeTab="7" xr2:uid="{00000000-000D-0000-FFFF-FFFF00000000}"/>
  </bookViews>
  <sheets>
    <sheet name="Convention" sheetId="1" r:id="rId1"/>
    <sheet name="Référentiel" sheetId="2" r:id="rId2"/>
    <sheet name="Événements" sheetId="3" r:id="rId3"/>
    <sheet name="Saisie 2026-02" sheetId="4" r:id="rId4"/>
    <sheet name="Saisie 2026-03" sheetId="5" r:id="rId5"/>
    <sheet name="Saisie 2026-04" sheetId="6" r:id="rId6"/>
    <sheet name="Saisie 2026-05" sheetId="7" r:id="rId7"/>
    <sheet name="Saisie 2026-06" sheetId="8" r:id="rId8"/>
    <sheet name="Formations" sheetId="9" r:id="rId9"/>
    <sheet name="Formations_Participations" sheetId="10" r:id="rId10"/>
    <sheet name="Log" sheetId="11" r:id="rId11"/>
    <sheet name="Synthèse mensuelle" sheetId="12" r:id="rId12"/>
    <sheet name="Synthèse consultant" sheetId="13" r:id="rId1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31" i="13" l="1"/>
  <c r="Y30" i="8"/>
  <c r="F31" i="13" s="1"/>
  <c r="X30" i="8"/>
  <c r="X29" i="8"/>
  <c r="Y29" i="8" s="1"/>
  <c r="F30" i="13" s="1"/>
  <c r="X28" i="8"/>
  <c r="Y28" i="8" s="1"/>
  <c r="F29" i="13" s="1"/>
  <c r="Y27" i="8"/>
  <c r="F28" i="13" s="1"/>
  <c r="X27" i="8"/>
  <c r="Y26" i="8"/>
  <c r="F27" i="13" s="1"/>
  <c r="X26" i="8"/>
  <c r="X25" i="8"/>
  <c r="Y25" i="8" s="1"/>
  <c r="F26" i="13" s="1"/>
  <c r="X24" i="8"/>
  <c r="Y24" i="8" s="1"/>
  <c r="F25" i="13" s="1"/>
  <c r="Y23" i="8"/>
  <c r="F24" i="13" s="1"/>
  <c r="X23" i="8"/>
  <c r="Y22" i="8"/>
  <c r="F23" i="13" s="1"/>
  <c r="X22" i="8"/>
  <c r="X21" i="8"/>
  <c r="Y21" i="8" s="1"/>
  <c r="F22" i="13" s="1"/>
  <c r="X20" i="8"/>
  <c r="Y20" i="8" s="1"/>
  <c r="F21" i="13" s="1"/>
  <c r="Y19" i="8"/>
  <c r="F20" i="13" s="1"/>
  <c r="X19" i="8"/>
  <c r="X18" i="8"/>
  <c r="Y18" i="8" s="1"/>
  <c r="F19" i="13" s="1"/>
  <c r="X17" i="8"/>
  <c r="Y17" i="8" s="1"/>
  <c r="F18" i="13" s="1"/>
  <c r="X16" i="8"/>
  <c r="Y16" i="8" s="1"/>
  <c r="F17" i="13" s="1"/>
  <c r="Y15" i="8"/>
  <c r="F16" i="13" s="1"/>
  <c r="X15" i="8"/>
  <c r="Y14" i="8"/>
  <c r="F15" i="13" s="1"/>
  <c r="X14" i="8"/>
  <c r="X13" i="8"/>
  <c r="Y13" i="8" s="1"/>
  <c r="F14" i="13" s="1"/>
  <c r="X12" i="8"/>
  <c r="Y12" i="8" s="1"/>
  <c r="F13" i="13" s="1"/>
  <c r="Y11" i="8"/>
  <c r="F12" i="13" s="1"/>
  <c r="X11" i="8"/>
  <c r="Y10" i="8"/>
  <c r="F11" i="13" s="1"/>
  <c r="X10" i="8"/>
  <c r="X9" i="8"/>
  <c r="Y9" i="8" s="1"/>
  <c r="F10" i="13" s="1"/>
  <c r="X7" i="8"/>
  <c r="Y7" i="8" s="1"/>
  <c r="F9" i="13" s="1"/>
  <c r="Y6" i="8"/>
  <c r="F8" i="13" s="1"/>
  <c r="X6" i="8"/>
  <c r="Y5" i="8"/>
  <c r="F7" i="13" s="1"/>
  <c r="X5" i="8"/>
  <c r="X4" i="8"/>
  <c r="T29" i="7"/>
  <c r="U29" i="7" s="1"/>
  <c r="E31" i="13" s="1"/>
  <c r="U28" i="7"/>
  <c r="E30" i="13" s="1"/>
  <c r="T28" i="7"/>
  <c r="U27" i="7"/>
  <c r="E29" i="13" s="1"/>
  <c r="T27" i="7"/>
  <c r="T26" i="7"/>
  <c r="U26" i="7" s="1"/>
  <c r="E28" i="13" s="1"/>
  <c r="T25" i="7"/>
  <c r="U25" i="7" s="1"/>
  <c r="E27" i="13" s="1"/>
  <c r="U24" i="7"/>
  <c r="E26" i="13" s="1"/>
  <c r="T24" i="7"/>
  <c r="U23" i="7"/>
  <c r="E25" i="13" s="1"/>
  <c r="T23" i="7"/>
  <c r="T22" i="7"/>
  <c r="U22" i="7" s="1"/>
  <c r="E24" i="13" s="1"/>
  <c r="T21" i="7"/>
  <c r="U21" i="7" s="1"/>
  <c r="E23" i="13" s="1"/>
  <c r="U20" i="7"/>
  <c r="E22" i="13" s="1"/>
  <c r="T20" i="7"/>
  <c r="U19" i="7"/>
  <c r="E21" i="13" s="1"/>
  <c r="T19" i="7"/>
  <c r="T18" i="7"/>
  <c r="U18" i="7" s="1"/>
  <c r="E20" i="13" s="1"/>
  <c r="T17" i="7"/>
  <c r="U17" i="7" s="1"/>
  <c r="E19" i="13" s="1"/>
  <c r="U16" i="7"/>
  <c r="E18" i="13" s="1"/>
  <c r="T16" i="7"/>
  <c r="U15" i="7"/>
  <c r="E17" i="13" s="1"/>
  <c r="T15" i="7"/>
  <c r="T14" i="7"/>
  <c r="U14" i="7" s="1"/>
  <c r="E16" i="13" s="1"/>
  <c r="T13" i="7"/>
  <c r="U13" i="7" s="1"/>
  <c r="E15" i="13" s="1"/>
  <c r="U12" i="7"/>
  <c r="E14" i="13" s="1"/>
  <c r="T12" i="7"/>
  <c r="U11" i="7"/>
  <c r="E13" i="13" s="1"/>
  <c r="T11" i="7"/>
  <c r="T10" i="7"/>
  <c r="U10" i="7" s="1"/>
  <c r="E12" i="13" s="1"/>
  <c r="T9" i="7"/>
  <c r="U9" i="7" s="1"/>
  <c r="E11" i="13" s="1"/>
  <c r="U8" i="7"/>
  <c r="E10" i="13" s="1"/>
  <c r="T8" i="7"/>
  <c r="U7" i="7"/>
  <c r="E9" i="13" s="1"/>
  <c r="T7" i="7"/>
  <c r="T6" i="7"/>
  <c r="U6" i="7" s="1"/>
  <c r="E8" i="13" s="1"/>
  <c r="T5" i="7"/>
  <c r="U5" i="7" s="1"/>
  <c r="U4" i="7"/>
  <c r="E6" i="13" s="1"/>
  <c r="T4" i="7"/>
  <c r="F9" i="12" s="1"/>
  <c r="Y29" i="6"/>
  <c r="D31" i="13" s="1"/>
  <c r="X29" i="6"/>
  <c r="X28" i="6"/>
  <c r="Y28" i="6" s="1"/>
  <c r="D30" i="13" s="1"/>
  <c r="X27" i="6"/>
  <c r="Y27" i="6" s="1"/>
  <c r="D29" i="13" s="1"/>
  <c r="Y26" i="6"/>
  <c r="D28" i="13" s="1"/>
  <c r="X26" i="6"/>
  <c r="Y25" i="6"/>
  <c r="D27" i="13" s="1"/>
  <c r="X25" i="6"/>
  <c r="X24" i="6"/>
  <c r="Y24" i="6" s="1"/>
  <c r="D26" i="13" s="1"/>
  <c r="X23" i="6"/>
  <c r="Y23" i="6" s="1"/>
  <c r="D25" i="13" s="1"/>
  <c r="Y22" i="6"/>
  <c r="D24" i="13" s="1"/>
  <c r="X22" i="6"/>
  <c r="Y21" i="6"/>
  <c r="D23" i="13" s="1"/>
  <c r="X21" i="6"/>
  <c r="X20" i="6"/>
  <c r="Y20" i="6" s="1"/>
  <c r="D22" i="13" s="1"/>
  <c r="X19" i="6"/>
  <c r="Y19" i="6" s="1"/>
  <c r="D21" i="13" s="1"/>
  <c r="Y18" i="6"/>
  <c r="D20" i="13" s="1"/>
  <c r="X18" i="6"/>
  <c r="Y17" i="6"/>
  <c r="D19" i="13" s="1"/>
  <c r="X17" i="6"/>
  <c r="X16" i="6"/>
  <c r="Y16" i="6" s="1"/>
  <c r="D18" i="13" s="1"/>
  <c r="X15" i="6"/>
  <c r="Y15" i="6" s="1"/>
  <c r="D17" i="13" s="1"/>
  <c r="Y14" i="6"/>
  <c r="D16" i="13" s="1"/>
  <c r="X14" i="6"/>
  <c r="Y13" i="6"/>
  <c r="D15" i="13" s="1"/>
  <c r="X13" i="6"/>
  <c r="X12" i="6"/>
  <c r="Y12" i="6" s="1"/>
  <c r="D14" i="13" s="1"/>
  <c r="X11" i="6"/>
  <c r="Y11" i="6" s="1"/>
  <c r="D13" i="13" s="1"/>
  <c r="Y10" i="6"/>
  <c r="D12" i="13" s="1"/>
  <c r="X10" i="6"/>
  <c r="Y9" i="6"/>
  <c r="D11" i="13" s="1"/>
  <c r="X9" i="6"/>
  <c r="X8" i="6"/>
  <c r="Y8" i="6" s="1"/>
  <c r="D10" i="13" s="1"/>
  <c r="X7" i="6"/>
  <c r="Y7" i="6" s="1"/>
  <c r="D9" i="13" s="1"/>
  <c r="Y6" i="6"/>
  <c r="D8" i="13" s="1"/>
  <c r="X6" i="6"/>
  <c r="Y5" i="6"/>
  <c r="D7" i="13" s="1"/>
  <c r="X5" i="6"/>
  <c r="F8" i="12" s="1"/>
  <c r="X4" i="6"/>
  <c r="C8" i="12" s="1"/>
  <c r="X29" i="5"/>
  <c r="Y29" i="5" s="1"/>
  <c r="C31" i="13" s="1"/>
  <c r="Y28" i="5"/>
  <c r="C30" i="13" s="1"/>
  <c r="X28" i="5"/>
  <c r="Y27" i="5"/>
  <c r="C29" i="13" s="1"/>
  <c r="X27" i="5"/>
  <c r="X26" i="5"/>
  <c r="Y26" i="5" s="1"/>
  <c r="C28" i="13" s="1"/>
  <c r="X25" i="5"/>
  <c r="Y25" i="5" s="1"/>
  <c r="C27" i="13" s="1"/>
  <c r="Y24" i="5"/>
  <c r="C26" i="13" s="1"/>
  <c r="X24" i="5"/>
  <c r="Y23" i="5"/>
  <c r="C25" i="13" s="1"/>
  <c r="X23" i="5"/>
  <c r="X22" i="5"/>
  <c r="Y22" i="5" s="1"/>
  <c r="C24" i="13" s="1"/>
  <c r="X21" i="5"/>
  <c r="Y21" i="5" s="1"/>
  <c r="C23" i="13" s="1"/>
  <c r="Y20" i="5"/>
  <c r="C22" i="13" s="1"/>
  <c r="X20" i="5"/>
  <c r="Y19" i="5"/>
  <c r="C21" i="13" s="1"/>
  <c r="X19" i="5"/>
  <c r="X18" i="5"/>
  <c r="Y18" i="5" s="1"/>
  <c r="C20" i="13" s="1"/>
  <c r="X17" i="5"/>
  <c r="Y17" i="5" s="1"/>
  <c r="C19" i="13" s="1"/>
  <c r="Y16" i="5"/>
  <c r="C18" i="13" s="1"/>
  <c r="X16" i="5"/>
  <c r="Y15" i="5"/>
  <c r="C17" i="13" s="1"/>
  <c r="X15" i="5"/>
  <c r="X14" i="5"/>
  <c r="Y14" i="5" s="1"/>
  <c r="C16" i="13" s="1"/>
  <c r="X13" i="5"/>
  <c r="Y13" i="5" s="1"/>
  <c r="C15" i="13" s="1"/>
  <c r="Y12" i="5"/>
  <c r="C14" i="13" s="1"/>
  <c r="X12" i="5"/>
  <c r="Y11" i="5"/>
  <c r="C13" i="13" s="1"/>
  <c r="X11" i="5"/>
  <c r="X10" i="5"/>
  <c r="Y10" i="5" s="1"/>
  <c r="C12" i="13" s="1"/>
  <c r="X9" i="5"/>
  <c r="Y9" i="5" s="1"/>
  <c r="C11" i="13" s="1"/>
  <c r="Y8" i="5"/>
  <c r="C10" i="13" s="1"/>
  <c r="X8" i="5"/>
  <c r="Y7" i="5"/>
  <c r="C9" i="13" s="1"/>
  <c r="X7" i="5"/>
  <c r="C7" i="12" s="1"/>
  <c r="X6" i="5"/>
  <c r="Y6" i="5" s="1"/>
  <c r="Y5" i="5"/>
  <c r="C7" i="13" s="1"/>
  <c r="X5" i="5"/>
  <c r="Y4" i="5"/>
  <c r="C6" i="13" s="1"/>
  <c r="X4" i="5"/>
  <c r="F7" i="12" s="1"/>
  <c r="W28" i="4"/>
  <c r="B30" i="13" s="1"/>
  <c r="V28" i="4"/>
  <c r="V27" i="4"/>
  <c r="W27" i="4" s="1"/>
  <c r="B29" i="13" s="1"/>
  <c r="W26" i="4"/>
  <c r="B28" i="13" s="1"/>
  <c r="V26" i="4"/>
  <c r="V25" i="4"/>
  <c r="W25" i="4" s="1"/>
  <c r="B27" i="13" s="1"/>
  <c r="G27" i="13" s="1"/>
  <c r="H27" i="13" s="1"/>
  <c r="W24" i="4"/>
  <c r="B26" i="13" s="1"/>
  <c r="V24" i="4"/>
  <c r="V23" i="4"/>
  <c r="W23" i="4" s="1"/>
  <c r="B25" i="13" s="1"/>
  <c r="W22" i="4"/>
  <c r="B24" i="13" s="1"/>
  <c r="G24" i="13" s="1"/>
  <c r="H24" i="13" s="1"/>
  <c r="V22" i="4"/>
  <c r="V21" i="4"/>
  <c r="W21" i="4" s="1"/>
  <c r="B23" i="13" s="1"/>
  <c r="G23" i="13" s="1"/>
  <c r="H23" i="13" s="1"/>
  <c r="W20" i="4"/>
  <c r="B22" i="13" s="1"/>
  <c r="V20" i="4"/>
  <c r="V19" i="4"/>
  <c r="W19" i="4" s="1"/>
  <c r="B21" i="13" s="1"/>
  <c r="W18" i="4"/>
  <c r="B20" i="13" s="1"/>
  <c r="V18" i="4"/>
  <c r="V17" i="4"/>
  <c r="W17" i="4" s="1"/>
  <c r="B19" i="13" s="1"/>
  <c r="W16" i="4"/>
  <c r="B18" i="13" s="1"/>
  <c r="V16" i="4"/>
  <c r="V15" i="4"/>
  <c r="W15" i="4" s="1"/>
  <c r="B17" i="13" s="1"/>
  <c r="W14" i="4"/>
  <c r="B16" i="13" s="1"/>
  <c r="G16" i="13" s="1"/>
  <c r="H16" i="13" s="1"/>
  <c r="V14" i="4"/>
  <c r="V13" i="4"/>
  <c r="W13" i="4" s="1"/>
  <c r="B15" i="13" s="1"/>
  <c r="W12" i="4"/>
  <c r="B14" i="13" s="1"/>
  <c r="V12" i="4"/>
  <c r="V11" i="4"/>
  <c r="W11" i="4" s="1"/>
  <c r="B13" i="13" s="1"/>
  <c r="W10" i="4"/>
  <c r="B12" i="13" s="1"/>
  <c r="V10" i="4"/>
  <c r="V9" i="4"/>
  <c r="W9" i="4" s="1"/>
  <c r="B11" i="13" s="1"/>
  <c r="G11" i="13" s="1"/>
  <c r="H11" i="13" s="1"/>
  <c r="W8" i="4"/>
  <c r="B10" i="13" s="1"/>
  <c r="V8" i="4"/>
  <c r="V7" i="4"/>
  <c r="W7" i="4" s="1"/>
  <c r="B9" i="13" s="1"/>
  <c r="W6" i="4"/>
  <c r="B8" i="13" s="1"/>
  <c r="V6" i="4"/>
  <c r="W5" i="4"/>
  <c r="B7" i="13" s="1"/>
  <c r="V5" i="4"/>
  <c r="W4" i="4"/>
  <c r="V4" i="4"/>
  <c r="B36" i="10"/>
  <c r="B35" i="10"/>
  <c r="B34" i="10"/>
  <c r="B33" i="10"/>
  <c r="B32" i="10"/>
  <c r="B31" i="10"/>
  <c r="B30" i="10"/>
  <c r="B29" i="10"/>
  <c r="B28" i="10"/>
  <c r="B27" i="10"/>
  <c r="B26" i="10"/>
  <c r="B25" i="10"/>
  <c r="B24" i="10"/>
  <c r="B23" i="10"/>
  <c r="B22" i="10"/>
  <c r="B21" i="10"/>
  <c r="B20" i="10"/>
  <c r="B19" i="10"/>
  <c r="B18" i="10"/>
  <c r="B17" i="10"/>
  <c r="B16" i="10"/>
  <c r="B15" i="10"/>
  <c r="B14" i="10"/>
  <c r="B13" i="10"/>
  <c r="B12" i="10"/>
  <c r="B11" i="10"/>
  <c r="B10" i="10"/>
  <c r="B9" i="10"/>
  <c r="B8" i="10"/>
  <c r="B7" i="10"/>
  <c r="B6" i="10"/>
  <c r="B5" i="10"/>
  <c r="B4" i="10"/>
  <c r="G19" i="13" l="1"/>
  <c r="H19" i="13" s="1"/>
  <c r="F10" i="12"/>
  <c r="D6" i="12"/>
  <c r="G25" i="13"/>
  <c r="H25" i="13" s="1"/>
  <c r="G30" i="13"/>
  <c r="H30" i="13" s="1"/>
  <c r="G31" i="13"/>
  <c r="H31" i="13" s="1"/>
  <c r="G8" i="13"/>
  <c r="H8" i="13" s="1"/>
  <c r="G9" i="13"/>
  <c r="H9" i="13" s="1"/>
  <c r="G15" i="13"/>
  <c r="H15" i="13" s="1"/>
  <c r="G20" i="13"/>
  <c r="H20" i="13" s="1"/>
  <c r="G14" i="13"/>
  <c r="H14" i="13" s="1"/>
  <c r="E6" i="12"/>
  <c r="G10" i="13"/>
  <c r="H10" i="13" s="1"/>
  <c r="G21" i="13"/>
  <c r="H21" i="13" s="1"/>
  <c r="G26" i="13"/>
  <c r="H26" i="13" s="1"/>
  <c r="F11" i="12"/>
  <c r="E7" i="13"/>
  <c r="G7" i="13" s="1"/>
  <c r="H7" i="13" s="1"/>
  <c r="B9" i="12"/>
  <c r="G17" i="13"/>
  <c r="H17" i="13" s="1"/>
  <c r="G22" i="13"/>
  <c r="H22" i="13" s="1"/>
  <c r="G12" i="13"/>
  <c r="H12" i="13" s="1"/>
  <c r="D7" i="12"/>
  <c r="C8" i="13"/>
  <c r="G28" i="13"/>
  <c r="H28" i="13" s="1"/>
  <c r="G13" i="13"/>
  <c r="H13" i="13" s="1"/>
  <c r="G18" i="13"/>
  <c r="H18" i="13" s="1"/>
  <c r="G29" i="13"/>
  <c r="H29" i="13" s="1"/>
  <c r="F6" i="12"/>
  <c r="Y4" i="6"/>
  <c r="Y4" i="8"/>
  <c r="B7" i="12"/>
  <c r="E8" i="12"/>
  <c r="C10" i="12"/>
  <c r="B6" i="13"/>
  <c r="B6" i="12"/>
  <c r="E7" i="12"/>
  <c r="C9" i="12"/>
  <c r="C6" i="12"/>
  <c r="D9" i="12"/>
  <c r="E9" i="12"/>
  <c r="C11" i="12" l="1"/>
  <c r="F6" i="13"/>
  <c r="D10" i="12"/>
  <c r="B10" i="12"/>
  <c r="G6" i="13"/>
  <c r="H6" i="13" s="1"/>
  <c r="B8" i="12"/>
  <c r="D6" i="13"/>
  <c r="D8" i="12"/>
  <c r="E10" i="12"/>
  <c r="E11" i="12" s="1"/>
  <c r="D11" i="12" l="1"/>
  <c r="B11" i="12"/>
</calcChain>
</file>

<file path=xl/sharedStrings.xml><?xml version="1.0" encoding="utf-8"?>
<sst xmlns="http://schemas.openxmlformats.org/spreadsheetml/2006/main" count="743" uniqueCount="182">
  <si>
    <t>Convention de saisie — Suivi de présence consultants</t>
  </si>
  <si>
    <t>Ce fichier sert à suivre la présence des consultants au bureau et à mesurer notre OKR (objectif : 2 jours/mois minimum par consultant).</t>
  </si>
  <si>
    <t>Symboles à utiliser dans les onglets de saisie mensuelle</t>
  </si>
  <si>
    <t>Symbole</t>
  </si>
  <si>
    <t>Signification</t>
  </si>
  <si>
    <t>Impact sur le calcul</t>
  </si>
  <si>
    <t>1</t>
  </si>
  <si>
    <t>Présence au bureau</t>
  </si>
  <si>
    <t>Compte dans le total de présences du consultant</t>
  </si>
  <si>
    <t>IC</t>
  </si>
  <si>
    <t>Présence pendant une période d'intercontrat</t>
  </si>
  <si>
    <t>Compte comme une présence dans le total OKR. Permet de visualiser la période d'intercontrat.</t>
  </si>
  <si>
    <t>(vide)</t>
  </si>
  <si>
    <t>Absence par défaut (pas venu, en mission, télétravail, congés courts)</t>
  </si>
  <si>
    <t>Compte comme "non présent" — sous l'objectif si pas assez de "1"</t>
  </si>
  <si>
    <t>M</t>
  </si>
  <si>
    <t>Absence longue : congé maternité/paternité, parental, maladie longue, sabbatique</t>
  </si>
  <si>
    <t>Le consultant est exclu du calcul d'atteinte OKR pour ce mois</t>
  </si>
  <si>
    <t>X</t>
  </si>
  <si>
    <t>Date d'un événement (ligne XO Day, XO Product Day, Séminaire)</t>
  </si>
  <si>
    <t>Permet d'overlay l'événement sur les graphiques</t>
  </si>
  <si>
    <t>Comment utiliser le fichier</t>
  </si>
  <si>
    <t>1. Onglet "Référentiel" : ajoute/retire les consultants au fil des arrivées et départs.</t>
  </si>
  <si>
    <t>2. Onglet "Événements" : déclare en amont les XO Days, XO Product Days et séminaires prévus.</t>
  </si>
  <si>
    <t>3. Onglets "Saisie YYYY-MM" : saisie quotidienne des présences (1 dans la cellule). Crée un nouvel onglet par mois.</t>
  </si>
  <si>
    <t>4. Onglet "Log" : se met à jour automatiquement, pas de saisie manuelle. C'est la source pour le dashboard.</t>
  </si>
  <si>
    <t>5. Onglets "Synthèse" : KPI calculés automatiquement.</t>
  </si>
  <si>
    <t>Note importante</t>
  </si>
  <si>
    <t>Ce fichier est un fichier source. Les données calculées dans les onglets Log et Synthèse alimentent un dashboard externe (web). Ne pas modifier les formules de ces onglets.</t>
  </si>
  <si>
    <t>Symboles à utiliser dans l'onglet Formations_Participations</t>
  </si>
  <si>
    <t>F</t>
  </si>
  <si>
    <t>Formateur(rice) de la session</t>
  </si>
  <si>
    <t>Compte comme une animation dans le total du consultant (bleu)</t>
  </si>
  <si>
    <t>P</t>
  </si>
  <si>
    <t>Participant(e) présent(e) à la session</t>
  </si>
  <si>
    <t>Compte comme une participation dans le total du consultant (vert)</t>
  </si>
  <si>
    <t>Non concerné par la session</t>
  </si>
  <si>
    <t>Ne compte pas</t>
  </si>
  <si>
    <t>Conventions pour l'onglet Formations</t>
  </si>
  <si>
    <t>id_session</t>
  </si>
  <si>
    <t>Format F-YYYY-NNN. NNN incrément manuel, remis à 1 chaque année (ex. F-2026-001).</t>
  </si>
  <si>
    <t>date</t>
  </si>
  <si>
    <t>Date de la session, une session = un jour.</t>
  </si>
  <si>
    <t>thématique</t>
  </si>
  <si>
    <t>Libellé court de la session, texte libre.</t>
  </si>
  <si>
    <t>formateur</t>
  </si>
  <si>
    <t>Nom du/des formateur(s). Plusieurs noms séparés par virgule en cas de co-animation.</t>
  </si>
  <si>
    <t>lien_support</t>
  </si>
  <si>
    <t>URL du support de session (Notion en général). Optionnel.</t>
  </si>
  <si>
    <t>Règle importante</t>
  </si>
  <si>
    <t>Les consultants dans Formations_Participations doivent rester dans le même ordre que dans les onglets Saisie YYYY-MM. Toute réorganisation (ajout, retrait, tri) doit être faite simultanément dans les deux familles d'onglets pour préserver la cohérence (et la future vue consultant consolidée).</t>
  </si>
  <si>
    <t>Cycle de vie des consultants (Référentiel)</t>
  </si>
  <si>
    <t>Règle absolue</t>
  </si>
  <si>
    <t>Ne jamais supprimer une ligne consultant. Quand un consultant part, remplir Date de sortie ; sa ligne reste en place dans Référentiel et dans toutes les matrices, ce qui préserve son historique.</t>
  </si>
  <si>
    <t>Arrivée</t>
  </si>
  <si>
    <t>Ajouter au Référentiel avec Date d'entrée. Ajouter une ligne consultant dans les matrices Saisie YYYY-MM (présent et à venir) et Formations_Participations.</t>
  </si>
  <si>
    <t>Départ</t>
  </si>
  <si>
    <t>Remplir Date de sortie dans le Référentiel. Ne pas toucher aux matrices.</t>
  </si>
  <si>
    <t>Saisie d'un formateur</t>
  </si>
  <si>
    <t>Onglet Formations</t>
  </si>
  <si>
    <t>Choisis le nom dans la liste déroulante de la colonne formateur. Pour co-animation, sépare plusieurs noms par une virgule.</t>
  </si>
  <si>
    <t>Matrice Formations_Participations</t>
  </si>
  <si>
    <t>Basculer le P du formateur en F à la colonne de la session concernée, pour que son animation soit comptée dans son total d'engagement.</t>
  </si>
  <si>
    <t>Référentiel des consultants</t>
  </si>
  <si>
    <t>Consultant</t>
  </si>
  <si>
    <t>Date d'entrée</t>
  </si>
  <si>
    <t>Date de sortie</t>
  </si>
  <si>
    <t>Alexandre Dieulesaint</t>
  </si>
  <si>
    <t>Amandine Ziegler</t>
  </si>
  <si>
    <t>Anthony Mocaer</t>
  </si>
  <si>
    <t>Anthéa Delpuech</t>
  </si>
  <si>
    <t>Axel Charletoux</t>
  </si>
  <si>
    <t>Barnabé Melaine</t>
  </si>
  <si>
    <t>Bertrand Mignot</t>
  </si>
  <si>
    <t>Calixte Bailly</t>
  </si>
  <si>
    <t>Caroline Hamoud</t>
  </si>
  <si>
    <t>Esther Mussot</t>
  </si>
  <si>
    <t>Eva Andrzejewski</t>
  </si>
  <si>
    <t>Florian Le Fur</t>
  </si>
  <si>
    <t>Florian Roudier</t>
  </si>
  <si>
    <t>François L'Hostis</t>
  </si>
  <si>
    <t>Félix Hantraye</t>
  </si>
  <si>
    <t>Geoffroy Debellabre</t>
  </si>
  <si>
    <t>Julien Calvao</t>
  </si>
  <si>
    <t>Laureline Berthou</t>
  </si>
  <si>
    <t>Mathieu Ultsch</t>
  </si>
  <si>
    <t>Matthieu Le Corre</t>
  </si>
  <si>
    <t>Nacim Souni</t>
  </si>
  <si>
    <t>Sandra Tang</t>
  </si>
  <si>
    <t>Simon Kerhyuel</t>
  </si>
  <si>
    <t>Théo Esposito</t>
  </si>
  <si>
    <t>Vincent Girard</t>
  </si>
  <si>
    <t>Zelal Aslan</t>
  </si>
  <si>
    <t>Anita Aladine</t>
  </si>
  <si>
    <t>Camille Chansigaud</t>
  </si>
  <si>
    <t>Emilien Rue</t>
  </si>
  <si>
    <t>Gaetan Le Bail</t>
  </si>
  <si>
    <t>Melchior R</t>
  </si>
  <si>
    <t>Nicolas Renard</t>
  </si>
  <si>
    <t>Jérémie Kieffer</t>
  </si>
  <si>
    <t>Calendrier des événements collectifs</t>
  </si>
  <si>
    <t>Date</t>
  </si>
  <si>
    <t>Type</t>
  </si>
  <si>
    <t>Libellé / Détail</t>
  </si>
  <si>
    <t>XO Product Day</t>
  </si>
  <si>
    <t>XO Product Day février</t>
  </si>
  <si>
    <t>XO Day</t>
  </si>
  <si>
    <t>XO Day mars</t>
  </si>
  <si>
    <t>XO Day avril</t>
  </si>
  <si>
    <t>Saisie présence — Février 2026</t>
  </si>
  <si>
    <t>Total</t>
  </si>
  <si>
    <t>Statut OKR</t>
  </si>
  <si>
    <t>— Événements —</t>
  </si>
  <si>
    <t>Séminaire</t>
  </si>
  <si>
    <t>Saisie présence — Mars 2026</t>
  </si>
  <si>
    <t>Saisie présence — Avril 2026</t>
  </si>
  <si>
    <t>Saisie présence — Mai 2026</t>
  </si>
  <si>
    <t>Saisie présence — Juin 2026</t>
  </si>
  <si>
    <t>Agnes Bregeon</t>
  </si>
  <si>
    <t>Catalogue des sessions de formation</t>
  </si>
  <si>
    <t>F-2025-001</t>
  </si>
  <si>
    <t>Delivery - Essentiel - La gestion du Backlog Produit ​</t>
  </si>
  <si>
    <t>F-2025-002</t>
  </si>
  <si>
    <t>F-2025-003</t>
  </si>
  <si>
    <t>Discovery - Essentiel - Comprendre la Discovery​</t>
  </si>
  <si>
    <t>F-2025-004</t>
  </si>
  <si>
    <t>Delivery - Essentiel - MVP &amp; User Story Mapping​</t>
  </si>
  <si>
    <t>F-2025-005</t>
  </si>
  <si>
    <t>Product Expert - Essentiel - Initiation aux API : Fondamentaux et usages​</t>
  </si>
  <si>
    <t>F-2025-006</t>
  </si>
  <si>
    <t>Discovery - Essentiel - Comprendre la Discovery ​  Les différents frameworks</t>
  </si>
  <si>
    <t>F-2025-007</t>
  </si>
  <si>
    <t>Discovery - Avancé - Identifier le bon problème et les bonnes cibles​</t>
  </si>
  <si>
    <t>F-2025-008</t>
  </si>
  <si>
    <t>F-2025-009</t>
  </si>
  <si>
    <t>IA - Essentiel - Module 1 - Intégrer l'IA et les LLM dans sa pratique de Product Manager</t>
  </si>
  <si>
    <t>Matthieu Le Corre, Anthony Mocaer</t>
  </si>
  <si>
    <t>F-2026-001</t>
  </si>
  <si>
    <t>F-2026-002</t>
  </si>
  <si>
    <t>Discovery - Avancé - Les protocoles de recherche utilisateurs​</t>
  </si>
  <si>
    <t>F-2026-003</t>
  </si>
  <si>
    <t>F-2026-004</t>
  </si>
  <si>
    <t>IA - Essentiel - Module 2 - Clarifier les terminologies clés de l’IA &amp; optimiser sa pratique des LLM</t>
  </si>
  <si>
    <t>F-2026-005</t>
  </si>
  <si>
    <t>Tech for PM - Essentiel - Module 1 - Les fondations : Git &amp; Frontend</t>
  </si>
  <si>
    <t>F-2026-006</t>
  </si>
  <si>
    <t>Discovery - Avancé - Imaginer et valider une solution</t>
  </si>
  <si>
    <t>F-2026-007</t>
  </si>
  <si>
    <t>F-2026-008</t>
  </si>
  <si>
    <t>Théo Esposito, Calixte Bailly</t>
  </si>
  <si>
    <t>F-2026-009</t>
  </si>
  <si>
    <t>Tech for PM - Session #2 - Back end et API</t>
  </si>
  <si>
    <t>Participations aux sessions de formation</t>
  </si>
  <si>
    <t>Log — format long (alimentation automatique)</t>
  </si>
  <si>
    <t>Ce tableau consolide automatiquement les données de tous les onglets de saisie au format long (1 ligne = 1 jour × 1 consultant × 1 statut). C'est ce tableau qui est exporté en CSV pour alimenter le dashboard.</t>
  </si>
  <si>
    <t>Important : ne pas saisir manuellement dans cet onglet. Toute saisie se fait dans les onglets "Saisie YYYY-MM".</t>
  </si>
  <si>
    <t>Année-Mois</t>
  </si>
  <si>
    <t>Jour semaine</t>
  </si>
  <si>
    <t>Statut</t>
  </si>
  <si>
    <t>Source</t>
  </si>
  <si>
    <t>Synthèse mensuelle — KPI agrégés</t>
  </si>
  <si>
    <t>Ces KPI sont calculés automatiquement depuis les onglets de saisie mensuelle.</t>
  </si>
  <si>
    <t>Mois</t>
  </si>
  <si>
    <t>Nb consultants</t>
  </si>
  <si>
    <t>Présences totales</t>
  </si>
  <si>
    <t>Atteinte OKR (%)</t>
  </si>
  <si>
    <t>Moyenne (j)</t>
  </si>
  <si>
    <t>Venus ≥1x</t>
  </si>
  <si>
    <t>Pic du mois</t>
  </si>
  <si>
    <t>Février 2026</t>
  </si>
  <si>
    <t>À calculer manuellement / via dashboard</t>
  </si>
  <si>
    <t>Mars 2026</t>
  </si>
  <si>
    <t>Avril 2026</t>
  </si>
  <si>
    <t>Mai 2026</t>
  </si>
  <si>
    <t>Juin 2026</t>
  </si>
  <si>
    <t>Moyenne T2</t>
  </si>
  <si>
    <t>Synthèse par consultant — vue trimestrielle</t>
  </si>
  <si>
    <t>Vue par consultant : présences et statut OKR par mois (févr.→juin), plus régularité sur la période.</t>
  </si>
  <si>
    <t>Févr. 2026</t>
  </si>
  <si>
    <t>Avr. 2026</t>
  </si>
  <si>
    <t>Mois ≥2j</t>
  </si>
  <si>
    <t>Régularité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</si>
</sst>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[$-40C]ddd\ dd"/>
  </numFmts>
  <fonts count="7">
    <font>
      <sz val="11"/>
      <color theme="1"/>
      <name val="Calibri"/>
      <family val="2"/>
      <charset val="1"/>
    </font>
    <font>
      <sz val="12"/>
      <color theme="1"/>
      <name val="Calibri"/>
      <family val="2"/>
      <charset val="1"/>
    </font>
    <font>
      <b/>
      <sz val="11"/>
      <name val="Cambria"/>
      <family val="1"/>
      <charset val="1"/>
    </font>
    <font>
      <b/>
      <sz val="14"/>
      <name val="Inter"/>
      <charset val="1"/>
    </font>
    <font>
      <b/>
      <sz val="12"/>
      <name val="Inter"/>
      <charset val="1"/>
    </font>
    <font>
      <sz val="11"/>
      <name val="Inter"/>
      <charset val="1"/>
    </font>
    <font>
      <b/>
      <sz val="12"/>
      <color rgb="FF6B7280"/>
      <name val="Inter"/>
      <charset val="1"/>
    </font>
  </fonts>
  <fills count="7">
    <fill>
      <patternFill patternType="none"/>
    </fill>
    <fill>
      <patternFill patternType="gray125"/>
    </fill>
    <fill>
      <patternFill patternType="solid">
        <fgColor rgb="FFF3F4F6"/>
        <bgColor rgb="FFE5E7EB"/>
      </patternFill>
    </fill>
    <fill>
      <patternFill patternType="solid">
        <fgColor rgb="FFD1FAE5"/>
        <bgColor rgb="FFDBEAFE"/>
      </patternFill>
    </fill>
    <fill>
      <patternFill patternType="solid">
        <fgColor rgb="FFE5E7EB"/>
        <bgColor rgb="FFDBEAFE"/>
      </patternFill>
    </fill>
    <fill>
      <patternFill patternType="solid">
        <fgColor rgb="FFFEF3C7"/>
        <bgColor rgb="FFF3F4F6"/>
      </patternFill>
    </fill>
    <fill>
      <patternFill patternType="solid">
        <fgColor rgb="FFE9D5FF"/>
        <bgColor rgb="FFE5E7EB"/>
      </patternFill>
    </fill>
  </fills>
  <borders count="4">
    <border>
      <left/>
      <right/>
      <top/>
      <bottom/>
      <diagonal/>
    </border>
    <border>
      <left/>
      <right/>
      <top/>
      <bottom style="thin">
        <color rgb="FFD1D5DB"/>
      </bottom>
      <diagonal/>
    </border>
    <border>
      <left style="medium">
        <color rgb="FF9CA3AF"/>
      </left>
      <right/>
      <top/>
      <bottom style="thin">
        <color rgb="FFD1D5DB"/>
      </bottom>
      <diagonal/>
    </border>
    <border>
      <left style="medium">
        <color rgb="FF9CA3AF"/>
      </left>
      <right/>
      <top/>
      <bottom/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vertical="top" wrapText="1"/>
    </xf>
    <xf numFmtId="0" fontId="3" fillId="0" borderId="0" xfId="0" applyFont="1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164" fontId="1" fillId="0" borderId="0" xfId="0" applyNumberFormat="1" applyFont="1"/>
    <xf numFmtId="164" fontId="0" fillId="0" borderId="0" xfId="0" applyNumberFormat="1"/>
    <xf numFmtId="0" fontId="4" fillId="2" borderId="1" xfId="0" applyFont="1" applyFill="1" applyBorder="1" applyAlignment="1">
      <alignment horizontal="left" vertical="center"/>
    </xf>
    <xf numFmtId="165" fontId="4" fillId="2" borderId="1" xfId="0" applyNumberFormat="1" applyFont="1" applyFill="1" applyBorder="1" applyAlignment="1">
      <alignment horizontal="center" vertical="center"/>
    </xf>
    <xf numFmtId="165" fontId="4" fillId="2" borderId="2" xfId="0" applyNumberFormat="1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3" borderId="0" xfId="0" applyFont="1" applyFill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6" fillId="0" borderId="0" xfId="0" applyFont="1"/>
    <xf numFmtId="0" fontId="4" fillId="0" borderId="0" xfId="0" applyFont="1" applyAlignment="1">
      <alignment horizontal="left" vertical="center"/>
    </xf>
    <xf numFmtId="0" fontId="5" fillId="6" borderId="0" xfId="0" applyFont="1" applyFill="1" applyAlignment="1">
      <alignment horizontal="center" vertical="center"/>
    </xf>
  </cellXfs>
  <cellStyles count="1">
    <cellStyle name="Normal" xfId="0" builtinId="0"/>
  </cellStyles>
  <dxfs count="24">
    <dxf>
      <fill>
        <patternFill>
          <bgColor rgb="FFD1FAE5"/>
        </patternFill>
      </fill>
    </dxf>
    <dxf>
      <fill>
        <patternFill>
          <bgColor rgb="FFDBEAFE"/>
        </patternFill>
      </fill>
    </dxf>
    <dxf>
      <fill>
        <patternFill>
          <bgColor rgb="FFD1FAE5"/>
        </patternFill>
      </fill>
    </dxf>
    <dxf>
      <fill>
        <patternFill>
          <bgColor rgb="FFDBEAFE"/>
        </patternFill>
      </fill>
    </dxf>
    <dxf>
      <fill>
        <patternFill>
          <bgColor rgb="FFE9D5FF"/>
        </patternFill>
      </fill>
    </dxf>
    <dxf>
      <fill>
        <patternFill>
          <bgColor rgb="FFE5E7EB"/>
        </patternFill>
      </fill>
    </dxf>
    <dxf>
      <fill>
        <patternFill>
          <bgColor rgb="FFFEF3C7"/>
        </patternFill>
      </fill>
    </dxf>
    <dxf>
      <fill>
        <patternFill>
          <bgColor rgb="FFD1FAE5"/>
        </patternFill>
      </fill>
    </dxf>
    <dxf>
      <fill>
        <patternFill>
          <bgColor rgb="FFE9D5FF"/>
        </patternFill>
      </fill>
    </dxf>
    <dxf>
      <fill>
        <patternFill>
          <bgColor rgb="FFE5E7EB"/>
        </patternFill>
      </fill>
    </dxf>
    <dxf>
      <fill>
        <patternFill>
          <bgColor rgb="FFFEF3C7"/>
        </patternFill>
      </fill>
    </dxf>
    <dxf>
      <fill>
        <patternFill>
          <bgColor rgb="FFD1FAE5"/>
        </patternFill>
      </fill>
    </dxf>
    <dxf>
      <fill>
        <patternFill>
          <bgColor rgb="FFE9D5FF"/>
        </patternFill>
      </fill>
    </dxf>
    <dxf>
      <fill>
        <patternFill>
          <bgColor rgb="FFE5E7EB"/>
        </patternFill>
      </fill>
    </dxf>
    <dxf>
      <fill>
        <patternFill>
          <bgColor rgb="FFFEF3C7"/>
        </patternFill>
      </fill>
    </dxf>
    <dxf>
      <fill>
        <patternFill>
          <bgColor rgb="FFD1FAE5"/>
        </patternFill>
      </fill>
    </dxf>
    <dxf>
      <fill>
        <patternFill>
          <bgColor rgb="FFE9D5FF"/>
        </patternFill>
      </fill>
    </dxf>
    <dxf>
      <fill>
        <patternFill>
          <bgColor rgb="FFE5E7EB"/>
        </patternFill>
      </fill>
    </dxf>
    <dxf>
      <fill>
        <patternFill>
          <bgColor rgb="FFFEF3C7"/>
        </patternFill>
      </fill>
    </dxf>
    <dxf>
      <fill>
        <patternFill>
          <bgColor rgb="FFD1FAE5"/>
        </patternFill>
      </fill>
    </dxf>
    <dxf>
      <fill>
        <patternFill>
          <bgColor rgb="FFE9D5FF"/>
        </patternFill>
      </fill>
    </dxf>
    <dxf>
      <fill>
        <patternFill>
          <bgColor rgb="FFE5E7EB"/>
        </patternFill>
      </fill>
    </dxf>
    <dxf>
      <fill>
        <patternFill>
          <bgColor rgb="FFFEF3C7"/>
        </patternFill>
      </fill>
    </dxf>
    <dxf>
      <fill>
        <patternFill>
          <bgColor rgb="FFD1FAE5"/>
        </patternFill>
      </fill>
    </dxf>
  </dxfs>
  <tableStyles count="0" defaultTableStyle="TableStyleMedium2" defaultPivotStyle="PivotStyleLight16"/>
  <colors>
    <indexedColors>
      <rgbColor rgb="FF000000"/>
      <rgbColor rgb="FFF3F4F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9D5FF"/>
      <rgbColor rgb="FF808080"/>
      <rgbColor rgb="FF9999FF"/>
      <rgbColor rgb="FF993366"/>
      <rgbColor rgb="FFFEF3C7"/>
      <rgbColor rgb="FFDBEAFE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5E7EB"/>
      <rgbColor rgb="FFD1FA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B7280"/>
      <rgbColor rgb="FF9CA3AF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7"/>
  <sheetViews>
    <sheetView zoomScaleNormal="100" workbookViewId="0"/>
  </sheetViews>
  <sheetFormatPr baseColWidth="10" defaultColWidth="10.6640625" defaultRowHeight="15"/>
  <sheetData>
    <row r="1" spans="1:3" ht="15.75" customHeight="1">
      <c r="A1" s="3" t="s">
        <v>0</v>
      </c>
    </row>
    <row r="3" spans="1:3" ht="15.75" customHeight="1">
      <c r="A3" s="3" t="s">
        <v>1</v>
      </c>
    </row>
    <row r="5" spans="1:3" ht="15.75" customHeight="1">
      <c r="A5" s="3" t="s">
        <v>2</v>
      </c>
    </row>
    <row r="6" spans="1:3" ht="15.75" customHeight="1">
      <c r="A6" s="3" t="s">
        <v>3</v>
      </c>
      <c r="B6" s="3" t="s">
        <v>4</v>
      </c>
      <c r="C6" s="3" t="s">
        <v>5</v>
      </c>
    </row>
    <row r="7" spans="1:3" ht="15.75" customHeight="1">
      <c r="A7" s="3" t="s">
        <v>6</v>
      </c>
      <c r="B7" s="3" t="s">
        <v>7</v>
      </c>
      <c r="C7" s="3" t="s">
        <v>8</v>
      </c>
    </row>
    <row r="8" spans="1:3" ht="15.75" customHeight="1">
      <c r="A8" s="3" t="s">
        <v>9</v>
      </c>
      <c r="B8" s="3" t="s">
        <v>10</v>
      </c>
      <c r="C8" s="3" t="s">
        <v>11</v>
      </c>
    </row>
    <row r="9" spans="1:3" ht="15.75" customHeight="1">
      <c r="A9" s="3" t="s">
        <v>12</v>
      </c>
      <c r="B9" s="3" t="s">
        <v>13</v>
      </c>
      <c r="C9" s="3" t="s">
        <v>14</v>
      </c>
    </row>
    <row r="10" spans="1:3" ht="15.75" customHeight="1">
      <c r="A10" s="3" t="s">
        <v>15</v>
      </c>
      <c r="B10" s="3" t="s">
        <v>16</v>
      </c>
      <c r="C10" s="3" t="s">
        <v>17</v>
      </c>
    </row>
    <row r="11" spans="1:3" ht="15.75" customHeight="1">
      <c r="A11" s="3" t="s">
        <v>18</v>
      </c>
      <c r="B11" s="3" t="s">
        <v>19</v>
      </c>
      <c r="C11" s="3" t="s">
        <v>20</v>
      </c>
    </row>
    <row r="13" spans="1:3" ht="15.75" customHeight="1">
      <c r="A13" s="3" t="s">
        <v>21</v>
      </c>
    </row>
    <row r="14" spans="1:3" ht="15.75" customHeight="1">
      <c r="A14" s="3" t="s">
        <v>22</v>
      </c>
    </row>
    <row r="15" spans="1:3" ht="15.75" customHeight="1">
      <c r="A15" s="3" t="s">
        <v>23</v>
      </c>
    </row>
    <row r="16" spans="1:3" ht="15.75" customHeight="1">
      <c r="A16" s="3" t="s">
        <v>24</v>
      </c>
    </row>
    <row r="17" spans="1:3" ht="15.75" customHeight="1">
      <c r="A17" s="3" t="s">
        <v>25</v>
      </c>
    </row>
    <row r="18" spans="1:3" ht="15.75" customHeight="1">
      <c r="A18" s="3" t="s">
        <v>26</v>
      </c>
    </row>
    <row r="21" spans="1:3" ht="15.75" customHeight="1">
      <c r="A21" s="3" t="s">
        <v>27</v>
      </c>
    </row>
    <row r="22" spans="1:3" ht="15.75" customHeight="1">
      <c r="A22" s="3" t="s">
        <v>28</v>
      </c>
    </row>
    <row r="24" spans="1:3" ht="15" customHeight="1">
      <c r="A24" s="4" t="s">
        <v>29</v>
      </c>
    </row>
    <row r="25" spans="1:3" ht="15" customHeight="1">
      <c r="A25" s="4" t="s">
        <v>3</v>
      </c>
      <c r="B25" s="4" t="s">
        <v>4</v>
      </c>
      <c r="C25" s="4" t="s">
        <v>5</v>
      </c>
    </row>
    <row r="26" spans="1:3" ht="15" customHeight="1">
      <c r="A26" t="s">
        <v>30</v>
      </c>
      <c r="B26" t="s">
        <v>31</v>
      </c>
      <c r="C26" t="s">
        <v>32</v>
      </c>
    </row>
    <row r="27" spans="1:3" ht="15" customHeight="1">
      <c r="A27" t="s">
        <v>33</v>
      </c>
      <c r="B27" t="s">
        <v>34</v>
      </c>
      <c r="C27" t="s">
        <v>35</v>
      </c>
    </row>
    <row r="28" spans="1:3" ht="15" customHeight="1">
      <c r="A28" t="s">
        <v>12</v>
      </c>
      <c r="B28" t="s">
        <v>36</v>
      </c>
      <c r="C28" t="s">
        <v>37</v>
      </c>
    </row>
    <row r="30" spans="1:3" ht="15" customHeight="1">
      <c r="A30" s="4" t="s">
        <v>38</v>
      </c>
    </row>
    <row r="31" spans="1:3" ht="15" customHeight="1">
      <c r="A31" t="s">
        <v>39</v>
      </c>
      <c r="B31" t="s">
        <v>40</v>
      </c>
    </row>
    <row r="32" spans="1:3" ht="15" customHeight="1">
      <c r="A32" t="s">
        <v>41</v>
      </c>
      <c r="B32" t="s">
        <v>42</v>
      </c>
    </row>
    <row r="33" spans="1:3" ht="15" customHeight="1">
      <c r="A33" t="s">
        <v>43</v>
      </c>
      <c r="B33" t="s">
        <v>44</v>
      </c>
    </row>
    <row r="34" spans="1:3" ht="15" customHeight="1">
      <c r="A34" t="s">
        <v>45</v>
      </c>
      <c r="B34" t="s">
        <v>46</v>
      </c>
    </row>
    <row r="35" spans="1:3" ht="15" customHeight="1">
      <c r="A35" t="s">
        <v>47</v>
      </c>
      <c r="B35" t="s">
        <v>48</v>
      </c>
    </row>
    <row r="37" spans="1:3" ht="15" customHeight="1">
      <c r="A37" s="4" t="s">
        <v>49</v>
      </c>
    </row>
    <row r="38" spans="1:3" ht="30" customHeight="1">
      <c r="A38" s="1" t="s">
        <v>50</v>
      </c>
      <c r="B38" s="1"/>
      <c r="C38" s="1"/>
    </row>
    <row r="40" spans="1:3" ht="15" customHeight="1">
      <c r="A40" s="4" t="s">
        <v>51</v>
      </c>
    </row>
    <row r="41" spans="1:3" ht="45" customHeight="1">
      <c r="A41" t="s">
        <v>52</v>
      </c>
      <c r="B41" s="5" t="s">
        <v>53</v>
      </c>
    </row>
    <row r="42" spans="1:3" ht="30" customHeight="1">
      <c r="A42" t="s">
        <v>54</v>
      </c>
      <c r="B42" s="5" t="s">
        <v>55</v>
      </c>
    </row>
    <row r="43" spans="1:3" ht="19.5" customHeight="1">
      <c r="A43" t="s">
        <v>56</v>
      </c>
      <c r="B43" s="5" t="s">
        <v>57</v>
      </c>
    </row>
    <row r="45" spans="1:3">
      <c r="A45" s="4" t="s">
        <v>58</v>
      </c>
    </row>
    <row r="46" spans="1:3" ht="30" customHeight="1">
      <c r="A46" t="s">
        <v>59</v>
      </c>
      <c r="B46" s="5" t="s">
        <v>60</v>
      </c>
    </row>
    <row r="47" spans="1:3" ht="30" customHeight="1">
      <c r="A47" t="s">
        <v>61</v>
      </c>
      <c r="B47" s="5" t="s">
        <v>62</v>
      </c>
    </row>
  </sheetData>
  <mergeCells count="1">
    <mergeCell ref="A38:C38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zoomScaleNormal="100" workbookViewId="0"/>
  </sheetViews>
  <sheetFormatPr baseColWidth="10" defaultColWidth="10.6640625" defaultRowHeight="15"/>
  <sheetData>
    <row r="1" spans="1:3" ht="15.75" customHeight="1">
      <c r="A1" s="3" t="s">
        <v>63</v>
      </c>
    </row>
    <row r="3" spans="1:3" ht="15.75" customHeight="1">
      <c r="A3" s="3" t="s">
        <v>64</v>
      </c>
      <c r="B3" s="3" t="s">
        <v>65</v>
      </c>
      <c r="C3" s="3" t="s">
        <v>66</v>
      </c>
    </row>
    <row r="4" spans="1:3" ht="15.75" customHeight="1">
      <c r="A4" s="3" t="s">
        <v>67</v>
      </c>
    </row>
    <row r="5" spans="1:3" ht="15.75" customHeight="1">
      <c r="A5" s="3" t="s">
        <v>68</v>
      </c>
    </row>
    <row r="6" spans="1:3" ht="15.75" customHeight="1">
      <c r="A6" s="3" t="s">
        <v>69</v>
      </c>
    </row>
    <row r="7" spans="1:3" ht="15.75" customHeight="1">
      <c r="A7" s="3" t="s">
        <v>70</v>
      </c>
    </row>
    <row r="8" spans="1:3" ht="15.75" customHeight="1">
      <c r="A8" s="3" t="s">
        <v>71</v>
      </c>
    </row>
    <row r="9" spans="1:3" ht="15.75" customHeight="1">
      <c r="A9" s="3" t="s">
        <v>72</v>
      </c>
    </row>
    <row r="10" spans="1:3" ht="15.75" customHeight="1">
      <c r="A10" s="3" t="s">
        <v>73</v>
      </c>
    </row>
    <row r="11" spans="1:3" ht="15.75" customHeight="1">
      <c r="A11" s="3" t="s">
        <v>74</v>
      </c>
    </row>
    <row r="12" spans="1:3" ht="15.75" customHeight="1">
      <c r="A12" s="3" t="s">
        <v>75</v>
      </c>
    </row>
    <row r="13" spans="1:3" ht="15.75" customHeight="1">
      <c r="A13" s="3" t="s">
        <v>76</v>
      </c>
      <c r="B13" s="6">
        <v>46082</v>
      </c>
    </row>
    <row r="14" spans="1:3" ht="15.75" customHeight="1">
      <c r="A14" s="3" t="s">
        <v>77</v>
      </c>
    </row>
    <row r="15" spans="1:3" ht="15.75" customHeight="1">
      <c r="A15" s="3" t="s">
        <v>78</v>
      </c>
    </row>
    <row r="16" spans="1:3" ht="15.75" customHeight="1">
      <c r="A16" s="3" t="s">
        <v>79</v>
      </c>
    </row>
    <row r="17" spans="1:1" ht="15.75" customHeight="1">
      <c r="A17" s="3" t="s">
        <v>80</v>
      </c>
    </row>
    <row r="18" spans="1:1" ht="15.75" customHeight="1">
      <c r="A18" s="3" t="s">
        <v>81</v>
      </c>
    </row>
    <row r="19" spans="1:1" ht="15.75" customHeight="1">
      <c r="A19" s="3" t="s">
        <v>82</v>
      </c>
    </row>
    <row r="20" spans="1:1" ht="15.75" customHeight="1">
      <c r="A20" s="3" t="s">
        <v>83</v>
      </c>
    </row>
    <row r="21" spans="1:1" ht="15.75" customHeight="1">
      <c r="A21" s="3" t="s">
        <v>84</v>
      </c>
    </row>
    <row r="22" spans="1:1" ht="15.75" customHeight="1">
      <c r="A22" s="3" t="s">
        <v>85</v>
      </c>
    </row>
    <row r="23" spans="1:1" ht="15.75" customHeight="1">
      <c r="A23" s="3" t="s">
        <v>86</v>
      </c>
    </row>
    <row r="24" spans="1:1" ht="15.75" customHeight="1">
      <c r="A24" s="3" t="s">
        <v>87</v>
      </c>
    </row>
    <row r="25" spans="1:1" ht="15.75" customHeight="1">
      <c r="A25" s="3" t="s">
        <v>88</v>
      </c>
    </row>
    <row r="26" spans="1:1" ht="15.75" customHeight="1">
      <c r="A26" s="3" t="s">
        <v>89</v>
      </c>
    </row>
    <row r="27" spans="1:1" ht="15.75" customHeight="1">
      <c r="A27" s="3" t="s">
        <v>90</v>
      </c>
    </row>
    <row r="28" spans="1:1" ht="15.75" customHeight="1">
      <c r="A28" s="3" t="s">
        <v>91</v>
      </c>
    </row>
    <row r="29" spans="1:1" ht="15.75" customHeight="1">
      <c r="A29" s="3" t="s">
        <v>92</v>
      </c>
    </row>
    <row r="30" spans="1:1" ht="15" customHeight="1">
      <c r="A30" t="s">
        <v>93</v>
      </c>
    </row>
    <row r="31" spans="1:1" ht="15" customHeight="1">
      <c r="A31" t="s">
        <v>94</v>
      </c>
    </row>
    <row r="32" spans="1:1" ht="15" customHeight="1">
      <c r="A32" t="s">
        <v>95</v>
      </c>
    </row>
    <row r="33" spans="1:2" ht="15" customHeight="1">
      <c r="A33" t="s">
        <v>96</v>
      </c>
    </row>
    <row r="34" spans="1:2" ht="15" customHeight="1">
      <c r="A34" t="s">
        <v>97</v>
      </c>
    </row>
    <row r="35" spans="1:2" ht="15" customHeight="1">
      <c r="A35" t="s">
        <v>98</v>
      </c>
    </row>
    <row r="36" spans="1:2" ht="15" customHeight="1">
      <c r="A36" t="s">
        <v>99</v>
      </c>
      <c r="B36" s="7">
        <v>45078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zoomScaleNormal="100" workbookViewId="0"/>
  </sheetViews>
  <sheetFormatPr baseColWidth="10" defaultColWidth="10.6640625" defaultRowHeight="15"/>
  <sheetData>
    <row r="1" spans="1:3" ht="15.75" customHeight="1">
      <c r="A1" s="3" t="s">
        <v>100</v>
      </c>
    </row>
    <row r="2" spans="1:3" ht="15" customHeight="1"/>
    <row r="3" spans="1:3" ht="15.75" customHeight="1">
      <c r="A3" s="3" t="s">
        <v>101</v>
      </c>
      <c r="B3" s="3" t="s">
        <v>102</v>
      </c>
      <c r="C3" s="3" t="s">
        <v>103</v>
      </c>
    </row>
    <row r="4" spans="1:3" ht="15.75" customHeight="1">
      <c r="A4" s="3">
        <v>46072</v>
      </c>
      <c r="B4" s="3" t="s">
        <v>104</v>
      </c>
      <c r="C4" s="3" t="s">
        <v>105</v>
      </c>
    </row>
    <row r="5" spans="1:3" ht="15.75" customHeight="1">
      <c r="A5" s="3">
        <v>46107</v>
      </c>
      <c r="B5" s="3" t="s">
        <v>106</v>
      </c>
      <c r="C5" s="3" t="s">
        <v>107</v>
      </c>
    </row>
    <row r="6" spans="1:3" ht="15.75" customHeight="1">
      <c r="A6" s="3">
        <v>46135</v>
      </c>
      <c r="B6" s="3" t="s">
        <v>106</v>
      </c>
      <c r="C6" s="3" t="s">
        <v>108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W33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8.83203125" defaultRowHeight="15"/>
  <cols>
    <col min="1" max="1" width="26" customWidth="1"/>
    <col min="2" max="22" width="8" customWidth="1"/>
    <col min="23" max="23" width="18" customWidth="1"/>
  </cols>
  <sheetData>
    <row r="1" spans="1:23" ht="21.75" customHeight="1">
      <c r="A1" s="2" t="s">
        <v>109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3" spans="1:23" ht="21.75" customHeight="1">
      <c r="A3" s="8" t="s">
        <v>64</v>
      </c>
      <c r="B3" s="9">
        <v>46055</v>
      </c>
      <c r="C3" s="9">
        <v>46056</v>
      </c>
      <c r="D3" s="9">
        <v>46057</v>
      </c>
      <c r="E3" s="9">
        <v>46058</v>
      </c>
      <c r="F3" s="9">
        <v>46059</v>
      </c>
      <c r="G3" s="10">
        <v>46062</v>
      </c>
      <c r="H3" s="9">
        <v>46063</v>
      </c>
      <c r="I3" s="9">
        <v>46064</v>
      </c>
      <c r="J3" s="9">
        <v>46065</v>
      </c>
      <c r="K3" s="9">
        <v>46066</v>
      </c>
      <c r="L3" s="10">
        <v>46069</v>
      </c>
      <c r="M3" s="9">
        <v>46070</v>
      </c>
      <c r="N3" s="9">
        <v>46071</v>
      </c>
      <c r="O3" s="9">
        <v>46072</v>
      </c>
      <c r="P3" s="9">
        <v>46073</v>
      </c>
      <c r="Q3" s="10">
        <v>46076</v>
      </c>
      <c r="R3" s="9">
        <v>46077</v>
      </c>
      <c r="S3" s="9">
        <v>46078</v>
      </c>
      <c r="T3" s="9">
        <v>46079</v>
      </c>
      <c r="U3" s="9">
        <v>46080</v>
      </c>
      <c r="V3" s="11" t="s">
        <v>110</v>
      </c>
      <c r="W3" s="12" t="s">
        <v>111</v>
      </c>
    </row>
    <row r="4" spans="1:23" ht="18" customHeight="1">
      <c r="A4" s="13" t="s">
        <v>77</v>
      </c>
      <c r="B4" s="14"/>
      <c r="C4" s="14"/>
      <c r="D4" s="14"/>
      <c r="E4" s="14"/>
      <c r="F4" s="14"/>
      <c r="G4" s="15"/>
      <c r="H4" s="16">
        <v>1</v>
      </c>
      <c r="I4" s="14"/>
      <c r="J4" s="14"/>
      <c r="K4" s="14"/>
      <c r="L4" s="15"/>
      <c r="M4" s="14"/>
      <c r="N4" s="14"/>
      <c r="O4" s="16">
        <v>1</v>
      </c>
      <c r="P4" s="14"/>
      <c r="Q4" s="15"/>
      <c r="R4" s="16">
        <v>1</v>
      </c>
      <c r="S4" s="14"/>
      <c r="T4" s="14"/>
      <c r="U4" s="14"/>
      <c r="V4" s="17">
        <f t="shared" ref="V4:V28" si="0">COUNTIF(B4:U4,1)+COUNTIF(B4:U4,"IC")</f>
        <v>3</v>
      </c>
      <c r="W4" s="14" t="str">
        <f t="shared" ref="W4:W28" si="1">IF(COUNTIF(B4:U4,"M")&gt;0,"N/A absence longue",IF(V4&gt;=2,"Atteint","Sous objectif"))</f>
        <v>Atteint</v>
      </c>
    </row>
    <row r="5" spans="1:23" ht="18" customHeight="1">
      <c r="A5" s="13" t="s">
        <v>92</v>
      </c>
      <c r="B5" s="18" t="s">
        <v>15</v>
      </c>
      <c r="C5" s="18" t="s">
        <v>15</v>
      </c>
      <c r="D5" s="18" t="s">
        <v>15</v>
      </c>
      <c r="E5" s="18" t="s">
        <v>15</v>
      </c>
      <c r="F5" s="18" t="s">
        <v>15</v>
      </c>
      <c r="G5" s="19" t="s">
        <v>15</v>
      </c>
      <c r="H5" s="18" t="s">
        <v>15</v>
      </c>
      <c r="I5" s="18" t="s">
        <v>15</v>
      </c>
      <c r="J5" s="18" t="s">
        <v>15</v>
      </c>
      <c r="K5" s="18" t="s">
        <v>15</v>
      </c>
      <c r="L5" s="19" t="s">
        <v>15</v>
      </c>
      <c r="M5" s="18" t="s">
        <v>15</v>
      </c>
      <c r="N5" s="18" t="s">
        <v>15</v>
      </c>
      <c r="O5" s="18" t="s">
        <v>15</v>
      </c>
      <c r="P5" s="18" t="s">
        <v>15</v>
      </c>
      <c r="Q5" s="19" t="s">
        <v>15</v>
      </c>
      <c r="R5" s="18" t="s">
        <v>15</v>
      </c>
      <c r="S5" s="18" t="s">
        <v>15</v>
      </c>
      <c r="T5" s="18" t="s">
        <v>15</v>
      </c>
      <c r="U5" s="18" t="s">
        <v>15</v>
      </c>
      <c r="V5" s="17">
        <f t="shared" si="0"/>
        <v>0</v>
      </c>
      <c r="W5" s="14" t="str">
        <f t="shared" si="1"/>
        <v>N/A absence longue</v>
      </c>
    </row>
    <row r="6" spans="1:23" ht="18" customHeight="1">
      <c r="A6" s="13" t="s">
        <v>74</v>
      </c>
      <c r="B6" s="14"/>
      <c r="C6" s="14"/>
      <c r="D6" s="14"/>
      <c r="E6" s="14"/>
      <c r="F6" s="14"/>
      <c r="G6" s="15"/>
      <c r="H6" s="14"/>
      <c r="I6" s="14"/>
      <c r="J6" s="14"/>
      <c r="K6" s="14"/>
      <c r="L6" s="15"/>
      <c r="M6" s="14"/>
      <c r="N6" s="14"/>
      <c r="O6" s="16">
        <v>1</v>
      </c>
      <c r="P6" s="14"/>
      <c r="Q6" s="15"/>
      <c r="R6" s="14"/>
      <c r="S6" s="14"/>
      <c r="T6" s="14"/>
      <c r="U6" s="14"/>
      <c r="V6" s="17">
        <f t="shared" si="0"/>
        <v>1</v>
      </c>
      <c r="W6" s="14" t="str">
        <f t="shared" si="1"/>
        <v>Sous objectif</v>
      </c>
    </row>
    <row r="7" spans="1:23" ht="18" customHeight="1">
      <c r="A7" s="13" t="s">
        <v>84</v>
      </c>
      <c r="B7" s="14"/>
      <c r="C7" s="16">
        <v>1</v>
      </c>
      <c r="D7" s="14"/>
      <c r="E7" s="16">
        <v>1</v>
      </c>
      <c r="F7" s="14"/>
      <c r="G7" s="15"/>
      <c r="H7" s="14"/>
      <c r="I7" s="14"/>
      <c r="J7" s="16">
        <v>1</v>
      </c>
      <c r="K7" s="14"/>
      <c r="L7" s="15"/>
      <c r="M7" s="14"/>
      <c r="N7" s="14"/>
      <c r="O7" s="16">
        <v>1</v>
      </c>
      <c r="P7" s="14"/>
      <c r="Q7" s="15"/>
      <c r="R7" s="16">
        <v>1</v>
      </c>
      <c r="S7" s="14"/>
      <c r="T7" s="14"/>
      <c r="U7" s="14"/>
      <c r="V7" s="17">
        <f t="shared" si="0"/>
        <v>5</v>
      </c>
      <c r="W7" s="14" t="str">
        <f t="shared" si="1"/>
        <v>Atteint</v>
      </c>
    </row>
    <row r="8" spans="1:23" ht="18" customHeight="1">
      <c r="A8" s="13" t="s">
        <v>83</v>
      </c>
      <c r="B8" s="20" t="s">
        <v>9</v>
      </c>
      <c r="C8" s="20" t="s">
        <v>9</v>
      </c>
      <c r="D8" s="14"/>
      <c r="E8" s="20" t="s">
        <v>9</v>
      </c>
      <c r="F8" s="14"/>
      <c r="G8" s="15"/>
      <c r="H8" s="20" t="s">
        <v>9</v>
      </c>
      <c r="I8" s="20" t="s">
        <v>9</v>
      </c>
      <c r="J8" s="20" t="s">
        <v>9</v>
      </c>
      <c r="K8" s="14"/>
      <c r="L8" s="21" t="s">
        <v>9</v>
      </c>
      <c r="M8" s="20" t="s">
        <v>9</v>
      </c>
      <c r="N8" s="14"/>
      <c r="O8" s="14"/>
      <c r="P8" s="14"/>
      <c r="Q8" s="21" t="s">
        <v>9</v>
      </c>
      <c r="R8" s="20" t="s">
        <v>9</v>
      </c>
      <c r="S8" s="14"/>
      <c r="T8" s="20" t="s">
        <v>9</v>
      </c>
      <c r="U8" s="14"/>
      <c r="V8" s="17">
        <f t="shared" si="0"/>
        <v>11</v>
      </c>
      <c r="W8" s="14" t="str">
        <f t="shared" si="1"/>
        <v>Atteint</v>
      </c>
    </row>
    <row r="9" spans="1:23" ht="18" customHeight="1">
      <c r="A9" s="13" t="s">
        <v>71</v>
      </c>
      <c r="B9" s="14"/>
      <c r="C9" s="14"/>
      <c r="D9" s="14"/>
      <c r="E9" s="14"/>
      <c r="F9" s="14"/>
      <c r="G9" s="15"/>
      <c r="H9" s="14"/>
      <c r="I9" s="14"/>
      <c r="J9" s="14"/>
      <c r="K9" s="14"/>
      <c r="L9" s="15"/>
      <c r="M9" s="14"/>
      <c r="N9" s="14"/>
      <c r="O9" s="16">
        <v>1</v>
      </c>
      <c r="P9" s="14"/>
      <c r="Q9" s="15"/>
      <c r="R9" s="14"/>
      <c r="S9" s="14"/>
      <c r="T9" s="14"/>
      <c r="U9" s="14"/>
      <c r="V9" s="17">
        <f t="shared" si="0"/>
        <v>1</v>
      </c>
      <c r="W9" s="14" t="str">
        <f t="shared" si="1"/>
        <v>Sous objectif</v>
      </c>
    </row>
    <row r="10" spans="1:23" ht="18" customHeight="1">
      <c r="A10" s="13" t="s">
        <v>86</v>
      </c>
      <c r="B10" s="14"/>
      <c r="C10" s="16">
        <v>1</v>
      </c>
      <c r="D10" s="14"/>
      <c r="E10" s="16">
        <v>1</v>
      </c>
      <c r="F10" s="14"/>
      <c r="G10" s="15"/>
      <c r="H10" s="16">
        <v>1</v>
      </c>
      <c r="I10" s="14"/>
      <c r="J10" s="16">
        <v>1</v>
      </c>
      <c r="K10" s="14"/>
      <c r="L10" s="15"/>
      <c r="M10" s="16">
        <v>1</v>
      </c>
      <c r="N10" s="14"/>
      <c r="O10" s="16">
        <v>1</v>
      </c>
      <c r="P10" s="14"/>
      <c r="Q10" s="15"/>
      <c r="R10" s="16">
        <v>1</v>
      </c>
      <c r="S10" s="14"/>
      <c r="T10" s="16">
        <v>1</v>
      </c>
      <c r="U10" s="14"/>
      <c r="V10" s="17">
        <f t="shared" si="0"/>
        <v>8</v>
      </c>
      <c r="W10" s="14" t="str">
        <f t="shared" si="1"/>
        <v>Atteint</v>
      </c>
    </row>
    <row r="11" spans="1:23" ht="18" customHeight="1">
      <c r="A11" s="13" t="s">
        <v>82</v>
      </c>
      <c r="B11" s="14"/>
      <c r="C11" s="14"/>
      <c r="D11" s="14"/>
      <c r="E11" s="14"/>
      <c r="F11" s="14"/>
      <c r="G11" s="15"/>
      <c r="H11" s="14"/>
      <c r="I11" s="14"/>
      <c r="J11" s="14"/>
      <c r="K11" s="14"/>
      <c r="L11" s="15"/>
      <c r="M11" s="14"/>
      <c r="N11" s="14"/>
      <c r="O11" s="14"/>
      <c r="P11" s="14"/>
      <c r="Q11" s="15"/>
      <c r="R11" s="14"/>
      <c r="S11" s="14"/>
      <c r="T11" s="14"/>
      <c r="U11" s="14"/>
      <c r="V11" s="17">
        <f t="shared" si="0"/>
        <v>0</v>
      </c>
      <c r="W11" s="14" t="str">
        <f t="shared" si="1"/>
        <v>Sous objectif</v>
      </c>
    </row>
    <row r="12" spans="1:23" ht="18" customHeight="1">
      <c r="A12" s="13" t="s">
        <v>70</v>
      </c>
      <c r="B12" s="16">
        <v>1</v>
      </c>
      <c r="C12" s="16">
        <v>1</v>
      </c>
      <c r="D12" s="14"/>
      <c r="E12" s="16">
        <v>1</v>
      </c>
      <c r="F12" s="14"/>
      <c r="G12" s="15"/>
      <c r="H12" s="14"/>
      <c r="I12" s="14"/>
      <c r="J12" s="14"/>
      <c r="K12" s="14"/>
      <c r="L12" s="15"/>
      <c r="M12" s="14"/>
      <c r="N12" s="14"/>
      <c r="O12" s="14"/>
      <c r="P12" s="14"/>
      <c r="Q12" s="15"/>
      <c r="R12" s="16">
        <v>1</v>
      </c>
      <c r="S12" s="14"/>
      <c r="T12" s="14"/>
      <c r="U12" s="14"/>
      <c r="V12" s="17">
        <f t="shared" si="0"/>
        <v>4</v>
      </c>
      <c r="W12" s="14" t="str">
        <f t="shared" si="1"/>
        <v>Atteint</v>
      </c>
    </row>
    <row r="13" spans="1:23" ht="18" customHeight="1">
      <c r="A13" s="13" t="s">
        <v>67</v>
      </c>
      <c r="B13" s="14"/>
      <c r="C13" s="14"/>
      <c r="D13" s="14"/>
      <c r="E13" s="14"/>
      <c r="F13" s="14"/>
      <c r="G13" s="15"/>
      <c r="H13" s="14"/>
      <c r="I13" s="14"/>
      <c r="J13" s="14"/>
      <c r="K13" s="14"/>
      <c r="L13" s="15"/>
      <c r="M13" s="14"/>
      <c r="N13" s="14"/>
      <c r="O13" s="14"/>
      <c r="P13" s="14"/>
      <c r="Q13" s="15"/>
      <c r="R13" s="14"/>
      <c r="S13" s="14"/>
      <c r="T13" s="14"/>
      <c r="U13" s="14"/>
      <c r="V13" s="17">
        <f t="shared" si="0"/>
        <v>0</v>
      </c>
      <c r="W13" s="14" t="str">
        <f t="shared" si="1"/>
        <v>Sous objectif</v>
      </c>
    </row>
    <row r="14" spans="1:23" ht="18" customHeight="1">
      <c r="A14" s="13" t="s">
        <v>90</v>
      </c>
      <c r="B14" s="14"/>
      <c r="C14" s="16">
        <v>1</v>
      </c>
      <c r="D14" s="14"/>
      <c r="E14" s="14"/>
      <c r="F14" s="14"/>
      <c r="G14" s="15"/>
      <c r="H14" s="16">
        <v>1</v>
      </c>
      <c r="I14" s="14"/>
      <c r="J14" s="14"/>
      <c r="K14" s="14"/>
      <c r="L14" s="15"/>
      <c r="M14" s="14"/>
      <c r="N14" s="14"/>
      <c r="O14" s="14"/>
      <c r="P14" s="14"/>
      <c r="Q14" s="15"/>
      <c r="R14" s="16">
        <v>1</v>
      </c>
      <c r="S14" s="14"/>
      <c r="T14" s="14"/>
      <c r="U14" s="14"/>
      <c r="V14" s="17">
        <f t="shared" si="0"/>
        <v>3</v>
      </c>
      <c r="W14" s="14" t="str">
        <f t="shared" si="1"/>
        <v>Atteint</v>
      </c>
    </row>
    <row r="15" spans="1:23" ht="18" customHeight="1">
      <c r="A15" s="13" t="s">
        <v>78</v>
      </c>
      <c r="B15" s="14"/>
      <c r="C15" s="14"/>
      <c r="D15" s="14"/>
      <c r="E15" s="14"/>
      <c r="F15" s="14"/>
      <c r="G15" s="15"/>
      <c r="H15" s="16">
        <v>1</v>
      </c>
      <c r="I15" s="14"/>
      <c r="J15" s="14"/>
      <c r="K15" s="14"/>
      <c r="L15" s="15"/>
      <c r="M15" s="14"/>
      <c r="N15" s="14"/>
      <c r="O15" s="16">
        <v>1</v>
      </c>
      <c r="P15" s="14"/>
      <c r="Q15" s="15"/>
      <c r="R15" s="14"/>
      <c r="S15" s="14"/>
      <c r="T15" s="14"/>
      <c r="U15" s="14"/>
      <c r="V15" s="17">
        <f t="shared" si="0"/>
        <v>2</v>
      </c>
      <c r="W15" s="14" t="str">
        <f t="shared" si="1"/>
        <v>Atteint</v>
      </c>
    </row>
    <row r="16" spans="1:23" ht="18" customHeight="1">
      <c r="A16" s="13" t="s">
        <v>91</v>
      </c>
      <c r="B16" s="14"/>
      <c r="C16" s="14"/>
      <c r="D16" s="14"/>
      <c r="E16" s="14"/>
      <c r="F16" s="14"/>
      <c r="G16" s="15"/>
      <c r="H16" s="16">
        <v>1</v>
      </c>
      <c r="I16" s="14"/>
      <c r="J16" s="14"/>
      <c r="K16" s="14"/>
      <c r="L16" s="15"/>
      <c r="M16" s="14"/>
      <c r="N16" s="14"/>
      <c r="O16" s="16">
        <v>1</v>
      </c>
      <c r="P16" s="14"/>
      <c r="Q16" s="15"/>
      <c r="R16" s="16">
        <v>1</v>
      </c>
      <c r="S16" s="14"/>
      <c r="T16" s="14"/>
      <c r="U16" s="14"/>
      <c r="V16" s="17">
        <f t="shared" si="0"/>
        <v>3</v>
      </c>
      <c r="W16" s="14" t="str">
        <f t="shared" si="1"/>
        <v>Atteint</v>
      </c>
    </row>
    <row r="17" spans="1:23" ht="18" customHeight="1">
      <c r="A17" s="13" t="s">
        <v>75</v>
      </c>
      <c r="B17" s="14"/>
      <c r="C17" s="14"/>
      <c r="D17" s="14"/>
      <c r="E17" s="14"/>
      <c r="F17" s="14"/>
      <c r="G17" s="15"/>
      <c r="H17" s="14"/>
      <c r="I17" s="14"/>
      <c r="J17" s="14"/>
      <c r="K17" s="14"/>
      <c r="L17" s="15"/>
      <c r="M17" s="14"/>
      <c r="N17" s="14"/>
      <c r="O17" s="14"/>
      <c r="P17" s="14"/>
      <c r="Q17" s="15"/>
      <c r="R17" s="14"/>
      <c r="S17" s="14"/>
      <c r="T17" s="14"/>
      <c r="U17" s="14"/>
      <c r="V17" s="17">
        <f t="shared" si="0"/>
        <v>0</v>
      </c>
      <c r="W17" s="14" t="str">
        <f t="shared" si="1"/>
        <v>Sous objectif</v>
      </c>
    </row>
    <row r="18" spans="1:23" ht="18" customHeight="1">
      <c r="A18" s="13" t="s">
        <v>81</v>
      </c>
      <c r="B18" s="14"/>
      <c r="C18" s="14"/>
      <c r="D18" s="14"/>
      <c r="E18" s="14"/>
      <c r="F18" s="14"/>
      <c r="G18" s="15"/>
      <c r="H18" s="16">
        <v>1</v>
      </c>
      <c r="I18" s="14"/>
      <c r="J18" s="14"/>
      <c r="K18" s="14"/>
      <c r="L18" s="15"/>
      <c r="M18" s="16">
        <v>1</v>
      </c>
      <c r="N18" s="14"/>
      <c r="O18" s="16">
        <v>1</v>
      </c>
      <c r="P18" s="14"/>
      <c r="Q18" s="15"/>
      <c r="R18" s="14"/>
      <c r="S18" s="14"/>
      <c r="T18" s="14"/>
      <c r="U18" s="14"/>
      <c r="V18" s="17">
        <f t="shared" si="0"/>
        <v>3</v>
      </c>
      <c r="W18" s="14" t="str">
        <f t="shared" si="1"/>
        <v>Atteint</v>
      </c>
    </row>
    <row r="19" spans="1:23" ht="18" customHeight="1">
      <c r="A19" s="13" t="s">
        <v>89</v>
      </c>
      <c r="B19" s="14"/>
      <c r="C19" s="14"/>
      <c r="D19" s="14"/>
      <c r="E19" s="14"/>
      <c r="F19" s="14"/>
      <c r="G19" s="15"/>
      <c r="H19" s="16">
        <v>1</v>
      </c>
      <c r="I19" s="14"/>
      <c r="J19" s="14"/>
      <c r="K19" s="14"/>
      <c r="L19" s="15"/>
      <c r="M19" s="14"/>
      <c r="N19" s="14"/>
      <c r="O19" s="14"/>
      <c r="P19" s="14"/>
      <c r="Q19" s="15"/>
      <c r="R19" s="14"/>
      <c r="S19" s="14"/>
      <c r="T19" s="14"/>
      <c r="U19" s="14"/>
      <c r="V19" s="17">
        <f t="shared" si="0"/>
        <v>1</v>
      </c>
      <c r="W19" s="14" t="str">
        <f t="shared" si="1"/>
        <v>Sous objectif</v>
      </c>
    </row>
    <row r="20" spans="1:23" ht="18" customHeight="1">
      <c r="A20" s="13" t="s">
        <v>80</v>
      </c>
      <c r="B20" s="14"/>
      <c r="C20" s="14"/>
      <c r="D20" s="14"/>
      <c r="E20" s="14"/>
      <c r="F20" s="14"/>
      <c r="G20" s="15"/>
      <c r="H20" s="16">
        <v>1</v>
      </c>
      <c r="I20" s="14"/>
      <c r="J20" s="14"/>
      <c r="K20" s="14"/>
      <c r="L20" s="15"/>
      <c r="M20" s="14"/>
      <c r="N20" s="14"/>
      <c r="O20" s="16">
        <v>1</v>
      </c>
      <c r="P20" s="14"/>
      <c r="Q20" s="15"/>
      <c r="R20" s="14"/>
      <c r="S20" s="14"/>
      <c r="T20" s="14"/>
      <c r="U20" s="14"/>
      <c r="V20" s="17">
        <f t="shared" si="0"/>
        <v>2</v>
      </c>
      <c r="W20" s="14" t="str">
        <f t="shared" si="1"/>
        <v>Atteint</v>
      </c>
    </row>
    <row r="21" spans="1:23" ht="18" customHeight="1">
      <c r="A21" s="13" t="s">
        <v>72</v>
      </c>
      <c r="B21" s="14"/>
      <c r="C21" s="14"/>
      <c r="D21" s="14"/>
      <c r="E21" s="14"/>
      <c r="F21" s="14"/>
      <c r="G21" s="15"/>
      <c r="H21" s="16">
        <v>1</v>
      </c>
      <c r="I21" s="14"/>
      <c r="J21" s="14"/>
      <c r="K21" s="14"/>
      <c r="L21" s="15"/>
      <c r="M21" s="14"/>
      <c r="N21" s="14"/>
      <c r="O21" s="16">
        <v>1</v>
      </c>
      <c r="P21" s="14"/>
      <c r="Q21" s="15"/>
      <c r="R21" s="14"/>
      <c r="S21" s="14"/>
      <c r="T21" s="14"/>
      <c r="U21" s="14"/>
      <c r="V21" s="17">
        <f t="shared" si="0"/>
        <v>2</v>
      </c>
      <c r="W21" s="14" t="str">
        <f t="shared" si="1"/>
        <v>Atteint</v>
      </c>
    </row>
    <row r="22" spans="1:23" ht="18" customHeight="1">
      <c r="A22" s="13" t="s">
        <v>73</v>
      </c>
      <c r="B22" s="14"/>
      <c r="C22" s="14"/>
      <c r="D22" s="14"/>
      <c r="E22" s="14"/>
      <c r="F22" s="14"/>
      <c r="G22" s="15"/>
      <c r="H22" s="16">
        <v>1</v>
      </c>
      <c r="I22" s="14"/>
      <c r="J22" s="14"/>
      <c r="K22" s="14"/>
      <c r="L22" s="15"/>
      <c r="M22" s="14"/>
      <c r="N22" s="14"/>
      <c r="O22" s="16">
        <v>1</v>
      </c>
      <c r="P22" s="14"/>
      <c r="Q22" s="15"/>
      <c r="R22" s="14"/>
      <c r="S22" s="14"/>
      <c r="T22" s="14"/>
      <c r="U22" s="14"/>
      <c r="V22" s="17">
        <f t="shared" si="0"/>
        <v>2</v>
      </c>
      <c r="W22" s="14" t="str">
        <f t="shared" si="1"/>
        <v>Atteint</v>
      </c>
    </row>
    <row r="23" spans="1:23" ht="18" customHeight="1">
      <c r="A23" s="13" t="s">
        <v>69</v>
      </c>
      <c r="B23" s="14"/>
      <c r="C23" s="14"/>
      <c r="D23" s="14"/>
      <c r="E23" s="14"/>
      <c r="F23" s="14"/>
      <c r="G23" s="15"/>
      <c r="H23" s="14"/>
      <c r="I23" s="14"/>
      <c r="J23" s="14"/>
      <c r="K23" s="14"/>
      <c r="L23" s="15"/>
      <c r="M23" s="14"/>
      <c r="N23" s="14"/>
      <c r="O23" s="14"/>
      <c r="P23" s="14"/>
      <c r="Q23" s="15"/>
      <c r="R23" s="16">
        <v>1</v>
      </c>
      <c r="S23" s="14"/>
      <c r="T23" s="14"/>
      <c r="U23" s="14"/>
      <c r="V23" s="17">
        <f t="shared" si="0"/>
        <v>1</v>
      </c>
      <c r="W23" s="14" t="str">
        <f t="shared" si="1"/>
        <v>Sous objectif</v>
      </c>
    </row>
    <row r="24" spans="1:23" ht="18" customHeight="1">
      <c r="A24" s="13" t="s">
        <v>79</v>
      </c>
      <c r="B24" s="14"/>
      <c r="C24" s="14"/>
      <c r="D24" s="14"/>
      <c r="E24" s="14"/>
      <c r="F24" s="14"/>
      <c r="G24" s="15"/>
      <c r="H24" s="14"/>
      <c r="I24" s="14"/>
      <c r="J24" s="14"/>
      <c r="K24" s="14"/>
      <c r="L24" s="15"/>
      <c r="M24" s="14"/>
      <c r="N24" s="14"/>
      <c r="O24" s="14"/>
      <c r="P24" s="14"/>
      <c r="Q24" s="15"/>
      <c r="R24" s="14"/>
      <c r="S24" s="14"/>
      <c r="T24" s="14"/>
      <c r="U24" s="14"/>
      <c r="V24" s="17">
        <f t="shared" si="0"/>
        <v>0</v>
      </c>
      <c r="W24" s="14" t="str">
        <f t="shared" si="1"/>
        <v>Sous objectif</v>
      </c>
    </row>
    <row r="25" spans="1:23" ht="18" customHeight="1">
      <c r="A25" s="13" t="s">
        <v>87</v>
      </c>
      <c r="B25" s="16">
        <v>1</v>
      </c>
      <c r="C25" s="16">
        <v>1</v>
      </c>
      <c r="D25" s="14"/>
      <c r="E25" s="16">
        <v>1</v>
      </c>
      <c r="F25" s="14"/>
      <c r="G25" s="22">
        <v>1</v>
      </c>
      <c r="H25" s="16">
        <v>1</v>
      </c>
      <c r="I25" s="14"/>
      <c r="J25" s="16">
        <v>1</v>
      </c>
      <c r="K25" s="14"/>
      <c r="L25" s="22">
        <v>1</v>
      </c>
      <c r="M25" s="14"/>
      <c r="N25" s="14"/>
      <c r="O25" s="16">
        <v>1</v>
      </c>
      <c r="P25" s="14"/>
      <c r="Q25" s="22">
        <v>1</v>
      </c>
      <c r="R25" s="16">
        <v>1</v>
      </c>
      <c r="S25" s="14"/>
      <c r="T25" s="16">
        <v>1</v>
      </c>
      <c r="U25" s="14"/>
      <c r="V25" s="17">
        <f t="shared" si="0"/>
        <v>11</v>
      </c>
      <c r="W25" s="14" t="str">
        <f t="shared" si="1"/>
        <v>Atteint</v>
      </c>
    </row>
    <row r="26" spans="1:23" ht="18" customHeight="1">
      <c r="A26" s="13" t="s">
        <v>88</v>
      </c>
      <c r="B26" s="14"/>
      <c r="C26" s="14"/>
      <c r="D26" s="14"/>
      <c r="E26" s="14"/>
      <c r="F26" s="14"/>
      <c r="G26" s="15"/>
      <c r="H26" s="14"/>
      <c r="I26" s="14"/>
      <c r="J26" s="14"/>
      <c r="K26" s="14"/>
      <c r="L26" s="15"/>
      <c r="M26" s="14"/>
      <c r="N26" s="14"/>
      <c r="O26" s="16">
        <v>1</v>
      </c>
      <c r="P26" s="14"/>
      <c r="Q26" s="15"/>
      <c r="R26" s="14"/>
      <c r="S26" s="14"/>
      <c r="T26" s="14"/>
      <c r="U26" s="14"/>
      <c r="V26" s="17">
        <f t="shared" si="0"/>
        <v>1</v>
      </c>
      <c r="W26" s="14" t="str">
        <f t="shared" si="1"/>
        <v>Sous objectif</v>
      </c>
    </row>
    <row r="27" spans="1:23" ht="18" customHeight="1">
      <c r="A27" s="13" t="s">
        <v>85</v>
      </c>
      <c r="B27" s="14"/>
      <c r="C27" s="16">
        <v>1</v>
      </c>
      <c r="D27" s="14"/>
      <c r="E27" s="14"/>
      <c r="F27" s="14"/>
      <c r="G27" s="15"/>
      <c r="H27" s="16">
        <v>1</v>
      </c>
      <c r="I27" s="14"/>
      <c r="J27" s="14"/>
      <c r="K27" s="14"/>
      <c r="L27" s="15"/>
      <c r="M27" s="16">
        <v>1</v>
      </c>
      <c r="N27" s="14"/>
      <c r="O27" s="16">
        <v>1</v>
      </c>
      <c r="P27" s="14"/>
      <c r="Q27" s="15"/>
      <c r="R27" s="16">
        <v>1</v>
      </c>
      <c r="S27" s="14"/>
      <c r="T27" s="14"/>
      <c r="U27" s="14"/>
      <c r="V27" s="17">
        <f t="shared" si="0"/>
        <v>5</v>
      </c>
      <c r="W27" s="14" t="str">
        <f t="shared" si="1"/>
        <v>Atteint</v>
      </c>
    </row>
    <row r="28" spans="1:23" ht="18" customHeight="1">
      <c r="A28" s="13" t="s">
        <v>68</v>
      </c>
      <c r="B28" s="14"/>
      <c r="C28" s="16">
        <v>1</v>
      </c>
      <c r="D28" s="14"/>
      <c r="E28" s="14"/>
      <c r="F28" s="14"/>
      <c r="G28" s="15"/>
      <c r="H28" s="16">
        <v>1</v>
      </c>
      <c r="I28" s="14"/>
      <c r="J28" s="14"/>
      <c r="K28" s="14"/>
      <c r="L28" s="15"/>
      <c r="M28" s="14"/>
      <c r="N28" s="14"/>
      <c r="O28" s="16">
        <v>1</v>
      </c>
      <c r="P28" s="14"/>
      <c r="Q28" s="15"/>
      <c r="R28" s="16">
        <v>1</v>
      </c>
      <c r="S28" s="14"/>
      <c r="T28" s="14"/>
      <c r="U28" s="14"/>
      <c r="V28" s="17">
        <f t="shared" si="0"/>
        <v>4</v>
      </c>
      <c r="W28" s="14" t="str">
        <f t="shared" si="1"/>
        <v>Atteint</v>
      </c>
    </row>
    <row r="30" spans="1:23" ht="15.75" customHeight="1">
      <c r="A30" s="23" t="s">
        <v>112</v>
      </c>
    </row>
    <row r="31" spans="1:23" ht="15.75" customHeight="1">
      <c r="A31" s="24" t="s">
        <v>106</v>
      </c>
      <c r="B31" s="14"/>
      <c r="C31" s="14"/>
      <c r="D31" s="14"/>
      <c r="E31" s="14"/>
      <c r="F31" s="14"/>
      <c r="G31" s="15"/>
      <c r="H31" s="14"/>
      <c r="I31" s="14"/>
      <c r="J31" s="14"/>
      <c r="K31" s="14"/>
      <c r="L31" s="15"/>
      <c r="M31" s="14"/>
      <c r="N31" s="14"/>
      <c r="O31" s="14"/>
      <c r="P31" s="14"/>
      <c r="Q31" s="15"/>
      <c r="R31" s="14"/>
      <c r="S31" s="14"/>
      <c r="T31" s="14"/>
      <c r="U31" s="14"/>
    </row>
    <row r="32" spans="1:23" ht="15.75" customHeight="1">
      <c r="A32" s="24" t="s">
        <v>104</v>
      </c>
      <c r="B32" s="14"/>
      <c r="C32" s="14"/>
      <c r="D32" s="14"/>
      <c r="E32" s="14"/>
      <c r="F32" s="14"/>
      <c r="G32" s="15"/>
      <c r="H32" s="14"/>
      <c r="I32" s="14"/>
      <c r="J32" s="14"/>
      <c r="K32" s="14"/>
      <c r="L32" s="15"/>
      <c r="M32" s="14"/>
      <c r="N32" s="14"/>
      <c r="O32" s="25" t="s">
        <v>18</v>
      </c>
      <c r="P32" s="14"/>
      <c r="Q32" s="15"/>
      <c r="R32" s="14"/>
      <c r="S32" s="14"/>
      <c r="T32" s="14"/>
      <c r="U32" s="14"/>
    </row>
    <row r="33" spans="1:21" ht="15.75" customHeight="1">
      <c r="A33" s="24" t="s">
        <v>113</v>
      </c>
      <c r="B33" s="14"/>
      <c r="C33" s="14"/>
      <c r="D33" s="14"/>
      <c r="E33" s="14"/>
      <c r="F33" s="14"/>
      <c r="G33" s="15"/>
      <c r="H33" s="14"/>
      <c r="I33" s="14"/>
      <c r="J33" s="14"/>
      <c r="K33" s="14"/>
      <c r="L33" s="15"/>
      <c r="M33" s="14"/>
      <c r="N33" s="14"/>
      <c r="O33" s="14"/>
      <c r="P33" s="14"/>
      <c r="Q33" s="15"/>
      <c r="R33" s="14"/>
      <c r="S33" s="14"/>
      <c r="T33" s="14"/>
      <c r="U33" s="14"/>
    </row>
  </sheetData>
  <mergeCells count="1">
    <mergeCell ref="A1:W1"/>
  </mergeCells>
  <conditionalFormatting sqref="B4:U28">
    <cfRule type="cellIs" dxfId="23" priority="2" operator="equal">
      <formula>1</formula>
    </cfRule>
    <cfRule type="cellIs" dxfId="22" priority="3" operator="equal">
      <formula>"IC"</formula>
    </cfRule>
    <cfRule type="cellIs" dxfId="21" priority="4" operator="equal">
      <formula>"M"</formula>
    </cfRule>
  </conditionalFormatting>
  <conditionalFormatting sqref="B31:U33">
    <cfRule type="cellIs" dxfId="20" priority="5" operator="equal">
      <formula>"X"</formula>
    </cfRule>
  </conditionalFormatting>
  <dataValidations count="2">
    <dataValidation type="list" allowBlank="1" showErrorMessage="1" errorTitle="Valeur invalide" error="Valeurs autorisées : X ou vide." sqref="B31:U33" xr:uid="{00000000-0002-0000-0300-000000000000}">
      <formula1>"X"</formula1>
      <formula2>0</formula2>
    </dataValidation>
    <dataValidation type="list" allowBlank="1" showErrorMessage="1" errorTitle="Valeur invalide" error="Valeurs autorisées : 1, IC, M ou vide." sqref="B4:U28" xr:uid="{00000000-0002-0000-0300-000001000000}">
      <formula1>"1,IC,M"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Y34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/>
    </sheetView>
  </sheetViews>
  <sheetFormatPr baseColWidth="10" defaultColWidth="8.83203125" defaultRowHeight="15"/>
  <cols>
    <col min="1" max="1" width="26" customWidth="1"/>
    <col min="2" max="24" width="8" customWidth="1"/>
    <col min="25" max="25" width="18" customWidth="1"/>
  </cols>
  <sheetData>
    <row r="1" spans="1:25" ht="21.75" customHeight="1">
      <c r="A1" s="2" t="s">
        <v>114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3" spans="1:25" ht="21.75" customHeight="1">
      <c r="A3" s="8" t="s">
        <v>64</v>
      </c>
      <c r="B3" s="9">
        <v>46083</v>
      </c>
      <c r="C3" s="9">
        <v>46084</v>
      </c>
      <c r="D3" s="9">
        <v>46085</v>
      </c>
      <c r="E3" s="9">
        <v>46086</v>
      </c>
      <c r="F3" s="9">
        <v>46087</v>
      </c>
      <c r="G3" s="10">
        <v>46090</v>
      </c>
      <c r="H3" s="9">
        <v>46091</v>
      </c>
      <c r="I3" s="9">
        <v>46092</v>
      </c>
      <c r="J3" s="9">
        <v>46093</v>
      </c>
      <c r="K3" s="9">
        <v>46094</v>
      </c>
      <c r="L3" s="10">
        <v>46097</v>
      </c>
      <c r="M3" s="9">
        <v>46098</v>
      </c>
      <c r="N3" s="9">
        <v>46099</v>
      </c>
      <c r="O3" s="9">
        <v>46100</v>
      </c>
      <c r="P3" s="9">
        <v>46101</v>
      </c>
      <c r="Q3" s="10">
        <v>46104</v>
      </c>
      <c r="R3" s="9">
        <v>46105</v>
      </c>
      <c r="S3" s="9">
        <v>46106</v>
      </c>
      <c r="T3" s="9">
        <v>46107</v>
      </c>
      <c r="U3" s="9">
        <v>46108</v>
      </c>
      <c r="V3" s="10">
        <v>46111</v>
      </c>
      <c r="W3" s="9">
        <v>46112</v>
      </c>
      <c r="X3" s="11" t="s">
        <v>110</v>
      </c>
      <c r="Y3" s="12" t="s">
        <v>111</v>
      </c>
    </row>
    <row r="4" spans="1:25" ht="18" customHeight="1">
      <c r="A4" s="13" t="s">
        <v>77</v>
      </c>
      <c r="B4" s="14"/>
      <c r="C4" s="14"/>
      <c r="D4" s="14"/>
      <c r="E4" s="14"/>
      <c r="F4" s="14"/>
      <c r="G4" s="15"/>
      <c r="H4" s="14"/>
      <c r="I4" s="16">
        <v>1</v>
      </c>
      <c r="J4" s="14"/>
      <c r="K4" s="14"/>
      <c r="L4" s="15"/>
      <c r="M4" s="16">
        <v>1</v>
      </c>
      <c r="N4" s="14"/>
      <c r="O4" s="14"/>
      <c r="P4" s="14"/>
      <c r="Q4" s="15"/>
      <c r="R4" s="14"/>
      <c r="S4" s="14"/>
      <c r="T4" s="16">
        <v>1</v>
      </c>
      <c r="U4" s="14"/>
      <c r="V4" s="15"/>
      <c r="W4" s="14"/>
      <c r="X4" s="17">
        <f t="shared" ref="X4:X29" si="0">COUNTIF(B4:W4,1)+COUNTIF(B4:W4,"IC")</f>
        <v>3</v>
      </c>
      <c r="Y4" s="14" t="str">
        <f t="shared" ref="Y4:Y29" si="1">IF(COUNTIF(B4:W4,"M")&gt;0,"N/A absence longue",IF(X4&gt;=2,"Atteint","Sous objectif"))</f>
        <v>Atteint</v>
      </c>
    </row>
    <row r="5" spans="1:25" ht="18" customHeight="1">
      <c r="A5" s="13" t="s">
        <v>92</v>
      </c>
      <c r="B5" s="18" t="s">
        <v>15</v>
      </c>
      <c r="C5" s="18" t="s">
        <v>15</v>
      </c>
      <c r="D5" s="18" t="s">
        <v>15</v>
      </c>
      <c r="E5" s="18" t="s">
        <v>15</v>
      </c>
      <c r="F5" s="18" t="s">
        <v>15</v>
      </c>
      <c r="G5" s="19" t="s">
        <v>15</v>
      </c>
      <c r="H5" s="18" t="s">
        <v>15</v>
      </c>
      <c r="I5" s="18" t="s">
        <v>15</v>
      </c>
      <c r="J5" s="18" t="s">
        <v>15</v>
      </c>
      <c r="K5" s="18" t="s">
        <v>15</v>
      </c>
      <c r="L5" s="19" t="s">
        <v>15</v>
      </c>
      <c r="M5" s="18" t="s">
        <v>15</v>
      </c>
      <c r="N5" s="18" t="s">
        <v>15</v>
      </c>
      <c r="O5" s="18" t="s">
        <v>15</v>
      </c>
      <c r="P5" s="18" t="s">
        <v>15</v>
      </c>
      <c r="Q5" s="19" t="s">
        <v>15</v>
      </c>
      <c r="R5" s="18" t="s">
        <v>15</v>
      </c>
      <c r="S5" s="18" t="s">
        <v>15</v>
      </c>
      <c r="T5" s="18" t="s">
        <v>15</v>
      </c>
      <c r="U5" s="18" t="s">
        <v>15</v>
      </c>
      <c r="V5" s="19" t="s">
        <v>15</v>
      </c>
      <c r="W5" s="18" t="s">
        <v>15</v>
      </c>
      <c r="X5" s="17">
        <f t="shared" si="0"/>
        <v>0</v>
      </c>
      <c r="Y5" s="14" t="str">
        <f t="shared" si="1"/>
        <v>N/A absence longue</v>
      </c>
    </row>
    <row r="6" spans="1:25" ht="18" customHeight="1">
      <c r="A6" s="13" t="s">
        <v>74</v>
      </c>
      <c r="B6" s="14"/>
      <c r="C6" s="14"/>
      <c r="D6" s="14"/>
      <c r="E6" s="14"/>
      <c r="F6" s="14"/>
      <c r="G6" s="15"/>
      <c r="H6" s="14"/>
      <c r="I6" s="14"/>
      <c r="J6" s="14"/>
      <c r="K6" s="14"/>
      <c r="L6" s="15"/>
      <c r="M6" s="14"/>
      <c r="N6" s="14"/>
      <c r="O6" s="14"/>
      <c r="P6" s="14"/>
      <c r="Q6" s="15"/>
      <c r="R6" s="14"/>
      <c r="S6" s="14"/>
      <c r="T6" s="14"/>
      <c r="U6" s="14"/>
      <c r="V6" s="15"/>
      <c r="W6" s="14"/>
      <c r="X6" s="17">
        <f t="shared" si="0"/>
        <v>0</v>
      </c>
      <c r="Y6" s="14" t="str">
        <f t="shared" si="1"/>
        <v>Sous objectif</v>
      </c>
    </row>
    <row r="7" spans="1:25" ht="18" customHeight="1">
      <c r="A7" s="13" t="s">
        <v>84</v>
      </c>
      <c r="B7" s="14"/>
      <c r="C7" s="16">
        <v>1</v>
      </c>
      <c r="D7" s="14"/>
      <c r="E7" s="14"/>
      <c r="F7" s="14"/>
      <c r="G7" s="15"/>
      <c r="H7" s="14"/>
      <c r="I7" s="14"/>
      <c r="J7" s="14"/>
      <c r="K7" s="14"/>
      <c r="L7" s="15"/>
      <c r="M7" s="16">
        <v>1</v>
      </c>
      <c r="N7" s="14"/>
      <c r="O7" s="16">
        <v>1</v>
      </c>
      <c r="P7" s="14"/>
      <c r="Q7" s="15"/>
      <c r="R7" s="16">
        <v>1</v>
      </c>
      <c r="S7" s="14"/>
      <c r="T7" s="16">
        <v>1</v>
      </c>
      <c r="U7" s="14"/>
      <c r="V7" s="15"/>
      <c r="W7" s="16">
        <v>1</v>
      </c>
      <c r="X7" s="17">
        <f t="shared" si="0"/>
        <v>6</v>
      </c>
      <c r="Y7" s="14" t="str">
        <f t="shared" si="1"/>
        <v>Atteint</v>
      </c>
    </row>
    <row r="8" spans="1:25" ht="18" customHeight="1">
      <c r="A8" s="13" t="s">
        <v>83</v>
      </c>
      <c r="B8" s="20" t="s">
        <v>9</v>
      </c>
      <c r="C8" s="20" t="s">
        <v>9</v>
      </c>
      <c r="D8" s="14"/>
      <c r="E8" s="20" t="s">
        <v>9</v>
      </c>
      <c r="F8" s="14"/>
      <c r="G8" s="21" t="s">
        <v>9</v>
      </c>
      <c r="H8" s="14"/>
      <c r="I8" s="20" t="s">
        <v>9</v>
      </c>
      <c r="J8" s="20" t="s">
        <v>9</v>
      </c>
      <c r="K8" s="14"/>
      <c r="L8" s="15"/>
      <c r="M8" s="20" t="s">
        <v>9</v>
      </c>
      <c r="N8" s="14"/>
      <c r="O8" s="20" t="s">
        <v>9</v>
      </c>
      <c r="P8" s="14"/>
      <c r="Q8" s="15"/>
      <c r="R8" s="20" t="s">
        <v>9</v>
      </c>
      <c r="S8" s="14"/>
      <c r="T8" s="20" t="s">
        <v>9</v>
      </c>
      <c r="U8" s="14"/>
      <c r="V8" s="21" t="s">
        <v>9</v>
      </c>
      <c r="W8" s="20" t="s">
        <v>9</v>
      </c>
      <c r="X8" s="17">
        <f t="shared" si="0"/>
        <v>12</v>
      </c>
      <c r="Y8" s="14" t="str">
        <f t="shared" si="1"/>
        <v>Atteint</v>
      </c>
    </row>
    <row r="9" spans="1:25" ht="18" customHeight="1">
      <c r="A9" s="13" t="s">
        <v>71</v>
      </c>
      <c r="B9" s="14"/>
      <c r="C9" s="14"/>
      <c r="D9" s="14"/>
      <c r="E9" s="14"/>
      <c r="F9" s="14"/>
      <c r="G9" s="15"/>
      <c r="H9" s="14"/>
      <c r="I9" s="16">
        <v>1</v>
      </c>
      <c r="J9" s="14"/>
      <c r="K9" s="14"/>
      <c r="L9" s="15"/>
      <c r="M9" s="14"/>
      <c r="N9" s="14"/>
      <c r="O9" s="14"/>
      <c r="P9" s="14"/>
      <c r="Q9" s="15"/>
      <c r="R9" s="14"/>
      <c r="S9" s="14"/>
      <c r="T9" s="14"/>
      <c r="U9" s="14"/>
      <c r="V9" s="15"/>
      <c r="W9" s="14"/>
      <c r="X9" s="17">
        <f t="shared" si="0"/>
        <v>1</v>
      </c>
      <c r="Y9" s="14" t="str">
        <f t="shared" si="1"/>
        <v>Sous objectif</v>
      </c>
    </row>
    <row r="10" spans="1:25" ht="18" customHeight="1">
      <c r="A10" s="13" t="s">
        <v>86</v>
      </c>
      <c r="B10" s="14"/>
      <c r="C10" s="16">
        <v>1</v>
      </c>
      <c r="D10" s="14"/>
      <c r="E10" s="16">
        <v>1</v>
      </c>
      <c r="F10" s="14"/>
      <c r="G10" s="15"/>
      <c r="H10" s="14"/>
      <c r="I10" s="14"/>
      <c r="J10" s="16">
        <v>1</v>
      </c>
      <c r="K10" s="14"/>
      <c r="L10" s="22">
        <v>1</v>
      </c>
      <c r="M10" s="14"/>
      <c r="N10" s="14"/>
      <c r="O10" s="16">
        <v>1</v>
      </c>
      <c r="P10" s="14"/>
      <c r="Q10" s="15"/>
      <c r="R10" s="14"/>
      <c r="S10" s="14"/>
      <c r="T10" s="16">
        <v>1</v>
      </c>
      <c r="U10" s="14"/>
      <c r="V10" s="15"/>
      <c r="W10" s="16">
        <v>1</v>
      </c>
      <c r="X10" s="17">
        <f t="shared" si="0"/>
        <v>7</v>
      </c>
      <c r="Y10" s="14" t="str">
        <f t="shared" si="1"/>
        <v>Atteint</v>
      </c>
    </row>
    <row r="11" spans="1:25" ht="18" customHeight="1">
      <c r="A11" s="13" t="s">
        <v>82</v>
      </c>
      <c r="B11" s="14"/>
      <c r="C11" s="14"/>
      <c r="D11" s="14"/>
      <c r="E11" s="16">
        <v>1</v>
      </c>
      <c r="F11" s="14"/>
      <c r="G11" s="15"/>
      <c r="H11" s="14"/>
      <c r="I11" s="14"/>
      <c r="J11" s="14"/>
      <c r="K11" s="14"/>
      <c r="L11" s="15"/>
      <c r="M11" s="14"/>
      <c r="N11" s="14"/>
      <c r="O11" s="16">
        <v>1</v>
      </c>
      <c r="P11" s="14"/>
      <c r="Q11" s="15"/>
      <c r="R11" s="14"/>
      <c r="S11" s="14"/>
      <c r="T11" s="14"/>
      <c r="U11" s="14"/>
      <c r="V11" s="15"/>
      <c r="W11" s="14"/>
      <c r="X11" s="17">
        <f t="shared" si="0"/>
        <v>2</v>
      </c>
      <c r="Y11" s="14" t="str">
        <f t="shared" si="1"/>
        <v>Atteint</v>
      </c>
    </row>
    <row r="12" spans="1:25" ht="18" customHeight="1">
      <c r="A12" s="13" t="s">
        <v>70</v>
      </c>
      <c r="B12" s="14"/>
      <c r="C12" s="14"/>
      <c r="D12" s="14"/>
      <c r="E12" s="14"/>
      <c r="F12" s="14"/>
      <c r="G12" s="15"/>
      <c r="H12" s="14"/>
      <c r="I12" s="14"/>
      <c r="J12" s="14"/>
      <c r="K12" s="14"/>
      <c r="L12" s="15"/>
      <c r="M12" s="14"/>
      <c r="N12" s="14"/>
      <c r="O12" s="14"/>
      <c r="P12" s="14"/>
      <c r="Q12" s="15"/>
      <c r="R12" s="14"/>
      <c r="S12" s="14"/>
      <c r="T12" s="16">
        <v>1</v>
      </c>
      <c r="U12" s="14"/>
      <c r="V12" s="15"/>
      <c r="W12" s="14"/>
      <c r="X12" s="17">
        <f t="shared" si="0"/>
        <v>1</v>
      </c>
      <c r="Y12" s="14" t="str">
        <f t="shared" si="1"/>
        <v>Sous objectif</v>
      </c>
    </row>
    <row r="13" spans="1:25" ht="18" customHeight="1">
      <c r="A13" s="13" t="s">
        <v>67</v>
      </c>
      <c r="B13" s="14"/>
      <c r="C13" s="14"/>
      <c r="D13" s="14"/>
      <c r="E13" s="14"/>
      <c r="F13" s="14"/>
      <c r="G13" s="15"/>
      <c r="H13" s="14"/>
      <c r="I13" s="16">
        <v>1</v>
      </c>
      <c r="J13" s="14"/>
      <c r="K13" s="14"/>
      <c r="L13" s="22">
        <v>1</v>
      </c>
      <c r="M13" s="14"/>
      <c r="N13" s="14"/>
      <c r="O13" s="14"/>
      <c r="P13" s="14"/>
      <c r="Q13" s="15"/>
      <c r="R13" s="14"/>
      <c r="S13" s="14"/>
      <c r="T13" s="14"/>
      <c r="U13" s="14"/>
      <c r="V13" s="15"/>
      <c r="W13" s="14"/>
      <c r="X13" s="17">
        <f t="shared" si="0"/>
        <v>2</v>
      </c>
      <c r="Y13" s="14" t="str">
        <f t="shared" si="1"/>
        <v>Atteint</v>
      </c>
    </row>
    <row r="14" spans="1:25" ht="18" customHeight="1">
      <c r="A14" s="13" t="s">
        <v>90</v>
      </c>
      <c r="B14" s="14"/>
      <c r="C14" s="14"/>
      <c r="D14" s="14"/>
      <c r="E14" s="14"/>
      <c r="F14" s="14"/>
      <c r="G14" s="15"/>
      <c r="H14" s="14"/>
      <c r="I14" s="16">
        <v>1</v>
      </c>
      <c r="J14" s="14"/>
      <c r="K14" s="14"/>
      <c r="L14" s="15"/>
      <c r="M14" s="16">
        <v>1</v>
      </c>
      <c r="N14" s="14"/>
      <c r="O14" s="14"/>
      <c r="P14" s="14"/>
      <c r="Q14" s="15"/>
      <c r="R14" s="14"/>
      <c r="S14" s="14"/>
      <c r="T14" s="14"/>
      <c r="U14" s="14"/>
      <c r="V14" s="15"/>
      <c r="W14" s="14"/>
      <c r="X14" s="17">
        <f t="shared" si="0"/>
        <v>2</v>
      </c>
      <c r="Y14" s="14" t="str">
        <f t="shared" si="1"/>
        <v>Atteint</v>
      </c>
    </row>
    <row r="15" spans="1:25" ht="18" customHeight="1">
      <c r="A15" s="13" t="s">
        <v>78</v>
      </c>
      <c r="B15" s="14"/>
      <c r="C15" s="14"/>
      <c r="D15" s="14"/>
      <c r="E15" s="14"/>
      <c r="F15" s="16">
        <v>1</v>
      </c>
      <c r="G15" s="15"/>
      <c r="H15" s="14"/>
      <c r="I15" s="16">
        <v>1</v>
      </c>
      <c r="J15" s="14"/>
      <c r="K15" s="14"/>
      <c r="L15" s="22">
        <v>1</v>
      </c>
      <c r="M15" s="14"/>
      <c r="N15" s="14"/>
      <c r="O15" s="16">
        <v>1</v>
      </c>
      <c r="P15" s="14"/>
      <c r="Q15" s="15"/>
      <c r="R15" s="14"/>
      <c r="S15" s="14"/>
      <c r="T15" s="16">
        <v>1</v>
      </c>
      <c r="U15" s="14"/>
      <c r="V15" s="15"/>
      <c r="W15" s="14"/>
      <c r="X15" s="17">
        <f t="shared" si="0"/>
        <v>5</v>
      </c>
      <c r="Y15" s="14" t="str">
        <f t="shared" si="1"/>
        <v>Atteint</v>
      </c>
    </row>
    <row r="16" spans="1:25" ht="18" customHeight="1">
      <c r="A16" s="13" t="s">
        <v>91</v>
      </c>
      <c r="B16" s="14"/>
      <c r="C16" s="14"/>
      <c r="D16" s="14"/>
      <c r="E16" s="14"/>
      <c r="F16" s="14"/>
      <c r="G16" s="15"/>
      <c r="H16" s="16">
        <v>1</v>
      </c>
      <c r="I16" s="16">
        <v>1</v>
      </c>
      <c r="J16" s="14"/>
      <c r="K16" s="14"/>
      <c r="L16" s="22">
        <v>1</v>
      </c>
      <c r="M16" s="14"/>
      <c r="N16" s="14"/>
      <c r="O16" s="14"/>
      <c r="P16" s="14"/>
      <c r="Q16" s="15"/>
      <c r="R16" s="14"/>
      <c r="S16" s="14"/>
      <c r="T16" s="16">
        <v>1</v>
      </c>
      <c r="U16" s="14"/>
      <c r="V16" s="15"/>
      <c r="W16" s="14"/>
      <c r="X16" s="17">
        <f t="shared" si="0"/>
        <v>4</v>
      </c>
      <c r="Y16" s="14" t="str">
        <f t="shared" si="1"/>
        <v>Atteint</v>
      </c>
    </row>
    <row r="17" spans="1:25" ht="18" customHeight="1">
      <c r="A17" s="13" t="s">
        <v>75</v>
      </c>
      <c r="B17" s="14"/>
      <c r="C17" s="14"/>
      <c r="D17" s="14"/>
      <c r="E17" s="14"/>
      <c r="F17" s="14"/>
      <c r="G17" s="15"/>
      <c r="H17" s="14"/>
      <c r="I17" s="14"/>
      <c r="J17" s="14"/>
      <c r="K17" s="14"/>
      <c r="L17" s="15"/>
      <c r="M17" s="14"/>
      <c r="N17" s="14"/>
      <c r="O17" s="14"/>
      <c r="P17" s="14"/>
      <c r="Q17" s="15"/>
      <c r="R17" s="14"/>
      <c r="S17" s="14"/>
      <c r="T17" s="16">
        <v>1</v>
      </c>
      <c r="U17" s="14"/>
      <c r="V17" s="15"/>
      <c r="W17" s="14"/>
      <c r="X17" s="17">
        <f t="shared" si="0"/>
        <v>1</v>
      </c>
      <c r="Y17" s="14" t="str">
        <f t="shared" si="1"/>
        <v>Sous objectif</v>
      </c>
    </row>
    <row r="18" spans="1:25" ht="18" customHeight="1">
      <c r="A18" s="13" t="s">
        <v>81</v>
      </c>
      <c r="B18" s="14"/>
      <c r="C18" s="14"/>
      <c r="D18" s="14"/>
      <c r="E18" s="14"/>
      <c r="F18" s="14"/>
      <c r="G18" s="15"/>
      <c r="H18" s="14"/>
      <c r="I18" s="14"/>
      <c r="J18" s="14"/>
      <c r="K18" s="14"/>
      <c r="L18" s="15"/>
      <c r="M18" s="14"/>
      <c r="N18" s="14"/>
      <c r="O18" s="14"/>
      <c r="P18" s="14"/>
      <c r="Q18" s="15"/>
      <c r="R18" s="14"/>
      <c r="S18" s="14"/>
      <c r="T18" s="16">
        <v>1</v>
      </c>
      <c r="U18" s="14"/>
      <c r="V18" s="15"/>
      <c r="W18" s="14"/>
      <c r="X18" s="17">
        <f t="shared" si="0"/>
        <v>1</v>
      </c>
      <c r="Y18" s="14" t="str">
        <f t="shared" si="1"/>
        <v>Sous objectif</v>
      </c>
    </row>
    <row r="19" spans="1:25" ht="18" customHeight="1">
      <c r="A19" s="13" t="s">
        <v>89</v>
      </c>
      <c r="B19" s="14"/>
      <c r="C19" s="14"/>
      <c r="D19" s="14"/>
      <c r="E19" s="14"/>
      <c r="F19" s="14"/>
      <c r="G19" s="15"/>
      <c r="H19" s="14"/>
      <c r="I19" s="14"/>
      <c r="J19" s="14"/>
      <c r="K19" s="14"/>
      <c r="L19" s="15"/>
      <c r="M19" s="14"/>
      <c r="N19" s="14"/>
      <c r="O19" s="14"/>
      <c r="P19" s="14"/>
      <c r="Q19" s="15"/>
      <c r="R19" s="14"/>
      <c r="S19" s="14"/>
      <c r="T19" s="16">
        <v>1</v>
      </c>
      <c r="U19" s="14"/>
      <c r="V19" s="15"/>
      <c r="W19" s="14"/>
      <c r="X19" s="17">
        <f t="shared" si="0"/>
        <v>1</v>
      </c>
      <c r="Y19" s="14" t="str">
        <f t="shared" si="1"/>
        <v>Sous objectif</v>
      </c>
    </row>
    <row r="20" spans="1:25" ht="18" customHeight="1">
      <c r="A20" s="13" t="s">
        <v>80</v>
      </c>
      <c r="B20" s="16">
        <v>1</v>
      </c>
      <c r="C20" s="14"/>
      <c r="D20" s="14"/>
      <c r="E20" s="14"/>
      <c r="F20" s="14"/>
      <c r="G20" s="22">
        <v>1</v>
      </c>
      <c r="H20" s="14"/>
      <c r="I20" s="14"/>
      <c r="J20" s="14"/>
      <c r="K20" s="14"/>
      <c r="L20" s="15"/>
      <c r="M20" s="14"/>
      <c r="N20" s="16">
        <v>1</v>
      </c>
      <c r="O20" s="14"/>
      <c r="P20" s="14"/>
      <c r="Q20" s="15"/>
      <c r="R20" s="14"/>
      <c r="S20" s="14"/>
      <c r="T20" s="16">
        <v>1</v>
      </c>
      <c r="U20" s="14"/>
      <c r="V20" s="15"/>
      <c r="W20" s="14"/>
      <c r="X20" s="17">
        <f t="shared" si="0"/>
        <v>4</v>
      </c>
      <c r="Y20" s="14" t="str">
        <f t="shared" si="1"/>
        <v>Atteint</v>
      </c>
    </row>
    <row r="21" spans="1:25" ht="18" customHeight="1">
      <c r="A21" s="13" t="s">
        <v>72</v>
      </c>
      <c r="B21" s="14"/>
      <c r="C21" s="14"/>
      <c r="D21" s="14"/>
      <c r="E21" s="14"/>
      <c r="F21" s="16">
        <v>1</v>
      </c>
      <c r="G21" s="15"/>
      <c r="H21" s="14"/>
      <c r="I21" s="14"/>
      <c r="J21" s="14"/>
      <c r="K21" s="14"/>
      <c r="L21" s="15"/>
      <c r="M21" s="16">
        <v>1</v>
      </c>
      <c r="N21" s="14"/>
      <c r="O21" s="16">
        <v>1</v>
      </c>
      <c r="P21" s="14"/>
      <c r="Q21" s="15"/>
      <c r="R21" s="14"/>
      <c r="S21" s="14"/>
      <c r="T21" s="16">
        <v>1</v>
      </c>
      <c r="U21" s="14"/>
      <c r="V21" s="15"/>
      <c r="W21" s="14"/>
      <c r="X21" s="17">
        <f t="shared" si="0"/>
        <v>4</v>
      </c>
      <c r="Y21" s="14" t="str">
        <f t="shared" si="1"/>
        <v>Atteint</v>
      </c>
    </row>
    <row r="22" spans="1:25" ht="18" customHeight="1">
      <c r="A22" s="13" t="s">
        <v>73</v>
      </c>
      <c r="B22" s="14"/>
      <c r="C22" s="14"/>
      <c r="D22" s="14"/>
      <c r="E22" s="14"/>
      <c r="F22" s="14"/>
      <c r="G22" s="15"/>
      <c r="H22" s="14"/>
      <c r="I22" s="14"/>
      <c r="J22" s="14"/>
      <c r="K22" s="14"/>
      <c r="L22" s="15"/>
      <c r="M22" s="16">
        <v>1</v>
      </c>
      <c r="N22" s="14"/>
      <c r="O22" s="14"/>
      <c r="P22" s="14"/>
      <c r="Q22" s="15"/>
      <c r="R22" s="14"/>
      <c r="S22" s="14"/>
      <c r="T22" s="14"/>
      <c r="U22" s="14"/>
      <c r="V22" s="15"/>
      <c r="W22" s="14"/>
      <c r="X22" s="17">
        <f t="shared" si="0"/>
        <v>1</v>
      </c>
      <c r="Y22" s="14" t="str">
        <f t="shared" si="1"/>
        <v>Sous objectif</v>
      </c>
    </row>
    <row r="23" spans="1:25" ht="18" customHeight="1">
      <c r="A23" s="13" t="s">
        <v>69</v>
      </c>
      <c r="B23" s="14"/>
      <c r="C23" s="14"/>
      <c r="D23" s="14"/>
      <c r="E23" s="14"/>
      <c r="F23" s="14"/>
      <c r="G23" s="15"/>
      <c r="H23" s="14"/>
      <c r="I23" s="14"/>
      <c r="J23" s="14"/>
      <c r="K23" s="14"/>
      <c r="L23" s="15"/>
      <c r="M23" s="14"/>
      <c r="N23" s="14"/>
      <c r="O23" s="14"/>
      <c r="P23" s="14"/>
      <c r="Q23" s="15"/>
      <c r="R23" s="14"/>
      <c r="S23" s="14"/>
      <c r="T23" s="16">
        <v>1</v>
      </c>
      <c r="U23" s="14"/>
      <c r="V23" s="15"/>
      <c r="W23" s="14"/>
      <c r="X23" s="17">
        <f t="shared" si="0"/>
        <v>1</v>
      </c>
      <c r="Y23" s="14" t="str">
        <f t="shared" si="1"/>
        <v>Sous objectif</v>
      </c>
    </row>
    <row r="24" spans="1:25" ht="18" customHeight="1">
      <c r="A24" s="13" t="s">
        <v>76</v>
      </c>
      <c r="B24" s="14"/>
      <c r="C24" s="14"/>
      <c r="D24" s="14"/>
      <c r="E24" s="14"/>
      <c r="F24" s="14"/>
      <c r="G24" s="15"/>
      <c r="H24" s="14"/>
      <c r="I24" s="14"/>
      <c r="J24" s="14"/>
      <c r="K24" s="14"/>
      <c r="L24" s="15"/>
      <c r="M24" s="14"/>
      <c r="N24" s="14"/>
      <c r="O24" s="14"/>
      <c r="P24" s="14"/>
      <c r="Q24" s="15"/>
      <c r="R24" s="16">
        <v>1</v>
      </c>
      <c r="S24" s="14"/>
      <c r="T24" s="16">
        <v>1</v>
      </c>
      <c r="U24" s="14"/>
      <c r="V24" s="22">
        <v>1</v>
      </c>
      <c r="W24" s="16">
        <v>1</v>
      </c>
      <c r="X24" s="17">
        <f t="shared" si="0"/>
        <v>4</v>
      </c>
      <c r="Y24" s="14" t="str">
        <f t="shared" si="1"/>
        <v>Atteint</v>
      </c>
    </row>
    <row r="25" spans="1:25" ht="18" customHeight="1">
      <c r="A25" s="13" t="s">
        <v>79</v>
      </c>
      <c r="B25" s="14"/>
      <c r="C25" s="14"/>
      <c r="D25" s="14"/>
      <c r="E25" s="14"/>
      <c r="F25" s="14"/>
      <c r="G25" s="15"/>
      <c r="H25" s="14"/>
      <c r="I25" s="14"/>
      <c r="J25" s="14"/>
      <c r="K25" s="14"/>
      <c r="L25" s="15"/>
      <c r="M25" s="14"/>
      <c r="N25" s="14"/>
      <c r="O25" s="14"/>
      <c r="P25" s="14"/>
      <c r="Q25" s="15"/>
      <c r="R25" s="14"/>
      <c r="S25" s="14"/>
      <c r="T25" s="16">
        <v>1</v>
      </c>
      <c r="U25" s="14"/>
      <c r="V25" s="15"/>
      <c r="W25" s="14"/>
      <c r="X25" s="17">
        <f t="shared" si="0"/>
        <v>1</v>
      </c>
      <c r="Y25" s="14" t="str">
        <f t="shared" si="1"/>
        <v>Sous objectif</v>
      </c>
    </row>
    <row r="26" spans="1:25" ht="18" customHeight="1">
      <c r="A26" s="13" t="s">
        <v>87</v>
      </c>
      <c r="B26" s="14"/>
      <c r="C26" s="14"/>
      <c r="D26" s="14"/>
      <c r="E26" s="14"/>
      <c r="F26" s="14"/>
      <c r="G26" s="15"/>
      <c r="H26" s="14"/>
      <c r="I26" s="14"/>
      <c r="J26" s="14"/>
      <c r="K26" s="14"/>
      <c r="L26" s="15"/>
      <c r="M26" s="14"/>
      <c r="N26" s="14"/>
      <c r="O26" s="14"/>
      <c r="P26" s="14"/>
      <c r="Q26" s="15"/>
      <c r="R26" s="14"/>
      <c r="S26" s="14"/>
      <c r="T26" s="14"/>
      <c r="U26" s="14"/>
      <c r="V26" s="15"/>
      <c r="W26" s="14"/>
      <c r="X26" s="17">
        <f t="shared" si="0"/>
        <v>0</v>
      </c>
      <c r="Y26" s="14" t="str">
        <f t="shared" si="1"/>
        <v>Sous objectif</v>
      </c>
    </row>
    <row r="27" spans="1:25" ht="18" customHeight="1">
      <c r="A27" s="13" t="s">
        <v>88</v>
      </c>
      <c r="B27" s="14"/>
      <c r="C27" s="14"/>
      <c r="D27" s="14"/>
      <c r="E27" s="14"/>
      <c r="F27" s="14"/>
      <c r="G27" s="15"/>
      <c r="H27" s="14"/>
      <c r="I27" s="14"/>
      <c r="J27" s="14"/>
      <c r="K27" s="14"/>
      <c r="L27" s="15"/>
      <c r="M27" s="14"/>
      <c r="N27" s="14"/>
      <c r="O27" s="16">
        <v>1</v>
      </c>
      <c r="P27" s="14"/>
      <c r="Q27" s="15"/>
      <c r="R27" s="14"/>
      <c r="S27" s="14"/>
      <c r="T27" s="16">
        <v>1</v>
      </c>
      <c r="U27" s="14"/>
      <c r="V27" s="15"/>
      <c r="W27" s="14"/>
      <c r="X27" s="17">
        <f t="shared" si="0"/>
        <v>2</v>
      </c>
      <c r="Y27" s="14" t="str">
        <f t="shared" si="1"/>
        <v>Atteint</v>
      </c>
    </row>
    <row r="28" spans="1:25" ht="18" customHeight="1">
      <c r="A28" s="13" t="s">
        <v>85</v>
      </c>
      <c r="B28" s="14"/>
      <c r="C28" s="14"/>
      <c r="D28" s="14"/>
      <c r="E28" s="14"/>
      <c r="F28" s="14"/>
      <c r="G28" s="15"/>
      <c r="H28" s="14"/>
      <c r="I28" s="16">
        <v>1</v>
      </c>
      <c r="J28" s="14"/>
      <c r="K28" s="14"/>
      <c r="L28" s="15"/>
      <c r="M28" s="16">
        <v>1</v>
      </c>
      <c r="N28" s="14"/>
      <c r="O28" s="14"/>
      <c r="P28" s="14"/>
      <c r="Q28" s="15"/>
      <c r="R28" s="16">
        <v>1</v>
      </c>
      <c r="S28" s="14"/>
      <c r="T28" s="14"/>
      <c r="U28" s="14"/>
      <c r="V28" s="15"/>
      <c r="W28" s="16">
        <v>1</v>
      </c>
      <c r="X28" s="17">
        <f t="shared" si="0"/>
        <v>4</v>
      </c>
      <c r="Y28" s="14" t="str">
        <f t="shared" si="1"/>
        <v>Atteint</v>
      </c>
    </row>
    <row r="29" spans="1:25" ht="18" customHeight="1">
      <c r="A29" s="13" t="s">
        <v>68</v>
      </c>
      <c r="B29" s="14"/>
      <c r="C29" s="14"/>
      <c r="D29" s="14"/>
      <c r="E29" s="14"/>
      <c r="F29" s="14"/>
      <c r="G29" s="15"/>
      <c r="H29" s="14"/>
      <c r="I29" s="14"/>
      <c r="J29" s="14"/>
      <c r="K29" s="14"/>
      <c r="L29" s="15"/>
      <c r="M29" s="16">
        <v>1</v>
      </c>
      <c r="N29" s="14"/>
      <c r="O29" s="14"/>
      <c r="P29" s="14"/>
      <c r="Q29" s="15"/>
      <c r="R29" s="16">
        <v>1</v>
      </c>
      <c r="S29" s="14"/>
      <c r="T29" s="16">
        <v>1</v>
      </c>
      <c r="U29" s="14"/>
      <c r="V29" s="15"/>
      <c r="W29" s="14"/>
      <c r="X29" s="17">
        <f t="shared" si="0"/>
        <v>3</v>
      </c>
      <c r="Y29" s="14" t="str">
        <f t="shared" si="1"/>
        <v>Atteint</v>
      </c>
    </row>
    <row r="31" spans="1:25" ht="15.75" customHeight="1">
      <c r="A31" s="23" t="s">
        <v>112</v>
      </c>
    </row>
    <row r="32" spans="1:25" ht="15.75" customHeight="1">
      <c r="A32" s="24" t="s">
        <v>106</v>
      </c>
      <c r="B32" s="14"/>
      <c r="C32" s="14"/>
      <c r="D32" s="14"/>
      <c r="E32" s="14"/>
      <c r="F32" s="14"/>
      <c r="G32" s="15"/>
      <c r="H32" s="14"/>
      <c r="I32" s="14"/>
      <c r="J32" s="14"/>
      <c r="K32" s="14"/>
      <c r="L32" s="15"/>
      <c r="M32" s="14"/>
      <c r="N32" s="14"/>
      <c r="O32" s="14"/>
      <c r="P32" s="14"/>
      <c r="Q32" s="15"/>
      <c r="R32" s="14"/>
      <c r="S32" s="14"/>
      <c r="T32" s="25" t="s">
        <v>18</v>
      </c>
      <c r="U32" s="14"/>
      <c r="V32" s="15"/>
      <c r="W32" s="14"/>
    </row>
    <row r="33" spans="1:23" ht="15.75" customHeight="1">
      <c r="A33" s="24" t="s">
        <v>104</v>
      </c>
      <c r="B33" s="14"/>
      <c r="C33" s="14"/>
      <c r="D33" s="14"/>
      <c r="E33" s="14"/>
      <c r="F33" s="14"/>
      <c r="G33" s="15"/>
      <c r="H33" s="14"/>
      <c r="I33" s="14"/>
      <c r="J33" s="14"/>
      <c r="K33" s="14"/>
      <c r="L33" s="15"/>
      <c r="M33" s="14"/>
      <c r="N33" s="14"/>
      <c r="O33" s="14"/>
      <c r="P33" s="14"/>
      <c r="Q33" s="15"/>
      <c r="R33" s="14"/>
      <c r="S33" s="14"/>
      <c r="T33" s="14"/>
      <c r="U33" s="14"/>
      <c r="V33" s="15"/>
      <c r="W33" s="14"/>
    </row>
    <row r="34" spans="1:23" ht="15.75" customHeight="1">
      <c r="A34" s="24" t="s">
        <v>113</v>
      </c>
      <c r="B34" s="14"/>
      <c r="C34" s="14"/>
      <c r="D34" s="14"/>
      <c r="E34" s="14"/>
      <c r="F34" s="14"/>
      <c r="G34" s="15"/>
      <c r="H34" s="14"/>
      <c r="I34" s="14"/>
      <c r="J34" s="14"/>
      <c r="K34" s="14"/>
      <c r="L34" s="15"/>
      <c r="M34" s="14"/>
      <c r="N34" s="14"/>
      <c r="O34" s="14"/>
      <c r="P34" s="14"/>
      <c r="Q34" s="15"/>
      <c r="R34" s="14"/>
      <c r="S34" s="14"/>
      <c r="T34" s="14"/>
      <c r="U34" s="14"/>
      <c r="V34" s="15"/>
      <c r="W34" s="14"/>
    </row>
  </sheetData>
  <mergeCells count="1">
    <mergeCell ref="A1:Y1"/>
  </mergeCells>
  <conditionalFormatting sqref="B4:W29">
    <cfRule type="cellIs" dxfId="19" priority="2" operator="equal">
      <formula>1</formula>
    </cfRule>
    <cfRule type="cellIs" dxfId="18" priority="3" operator="equal">
      <formula>"IC"</formula>
    </cfRule>
    <cfRule type="cellIs" dxfId="17" priority="4" operator="equal">
      <formula>"M"</formula>
    </cfRule>
  </conditionalFormatting>
  <conditionalFormatting sqref="B32:W34">
    <cfRule type="cellIs" dxfId="16" priority="5" operator="equal">
      <formula>"X"</formula>
    </cfRule>
  </conditionalFormatting>
  <dataValidations count="2">
    <dataValidation type="list" allowBlank="1" showErrorMessage="1" errorTitle="Valeur invalide" error="Valeurs autorisées : X ou vide." sqref="B32:W34" xr:uid="{00000000-0002-0000-0400-000000000000}">
      <formula1>"X"</formula1>
      <formula2>0</formula2>
    </dataValidation>
    <dataValidation type="list" allowBlank="1" showErrorMessage="1" errorTitle="Valeur invalide" error="Valeurs autorisées : 1, IC, M ou vide." sqref="B4:W29" xr:uid="{00000000-0002-0000-0400-000001000000}">
      <formula1>"1,IC,M"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Y34"/>
  <sheetViews>
    <sheetView zoomScaleNormal="100" workbookViewId="0">
      <pane xSplit="1" ySplit="3" topLeftCell="B4" activePane="bottomRight" state="frozen"/>
      <selection pane="topRight" activeCell="B1" sqref="B1"/>
      <selection pane="bottomLeft" activeCell="A4" sqref="A4"/>
      <selection pane="bottomRight" activeCell="J18" sqref="J18"/>
    </sheetView>
  </sheetViews>
  <sheetFormatPr baseColWidth="10" defaultColWidth="8.83203125" defaultRowHeight="15"/>
  <cols>
    <col min="1" max="1" width="26" customWidth="1"/>
    <col min="2" max="24" width="8" customWidth="1"/>
    <col min="25" max="25" width="18" customWidth="1"/>
  </cols>
  <sheetData>
    <row r="1" spans="1:25" ht="21.75" customHeight="1">
      <c r="A1" s="2" t="s">
        <v>115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3" spans="1:25" ht="21.75" customHeight="1">
      <c r="A3" s="8" t="s">
        <v>64</v>
      </c>
      <c r="B3" s="9">
        <v>46113</v>
      </c>
      <c r="C3" s="9">
        <v>46114</v>
      </c>
      <c r="D3" s="9">
        <v>46115</v>
      </c>
      <c r="E3" s="10">
        <v>46118</v>
      </c>
      <c r="F3" s="9">
        <v>46119</v>
      </c>
      <c r="G3" s="9">
        <v>46120</v>
      </c>
      <c r="H3" s="9">
        <v>46121</v>
      </c>
      <c r="I3" s="9">
        <v>46122</v>
      </c>
      <c r="J3" s="10">
        <v>46125</v>
      </c>
      <c r="K3" s="9">
        <v>46126</v>
      </c>
      <c r="L3" s="9">
        <v>46127</v>
      </c>
      <c r="M3" s="9">
        <v>46128</v>
      </c>
      <c r="N3" s="9">
        <v>46129</v>
      </c>
      <c r="O3" s="10">
        <v>46132</v>
      </c>
      <c r="P3" s="9">
        <v>46133</v>
      </c>
      <c r="Q3" s="9">
        <v>46134</v>
      </c>
      <c r="R3" s="9">
        <v>46135</v>
      </c>
      <c r="S3" s="9">
        <v>46136</v>
      </c>
      <c r="T3" s="10">
        <v>46139</v>
      </c>
      <c r="U3" s="9">
        <v>46140</v>
      </c>
      <c r="V3" s="9">
        <v>46141</v>
      </c>
      <c r="W3" s="9">
        <v>46142</v>
      </c>
      <c r="X3" s="11" t="s">
        <v>110</v>
      </c>
      <c r="Y3" s="12" t="s">
        <v>111</v>
      </c>
    </row>
    <row r="4" spans="1:25" ht="18" customHeight="1">
      <c r="A4" s="13" t="s">
        <v>77</v>
      </c>
      <c r="B4" s="14"/>
      <c r="C4" s="14"/>
      <c r="D4" s="14"/>
      <c r="E4" s="15"/>
      <c r="F4" s="14"/>
      <c r="G4" s="14"/>
      <c r="H4" s="14"/>
      <c r="I4" s="14"/>
      <c r="J4" s="15"/>
      <c r="K4" s="14"/>
      <c r="L4" s="14"/>
      <c r="M4" s="14"/>
      <c r="N4" s="14"/>
      <c r="O4" s="15"/>
      <c r="P4" s="14"/>
      <c r="Q4" s="14"/>
      <c r="R4" s="16">
        <v>1</v>
      </c>
      <c r="S4" s="14"/>
      <c r="T4" s="15"/>
      <c r="U4" s="14">
        <v>1</v>
      </c>
      <c r="V4" s="14"/>
      <c r="W4" s="14"/>
      <c r="X4" s="17">
        <f t="shared" ref="X4:X29" si="0">COUNTIF(B4:W4,1)+COUNTIF(B4:W4,"IC")</f>
        <v>2</v>
      </c>
      <c r="Y4" s="14" t="str">
        <f t="shared" ref="Y4:Y29" si="1">IF(COUNTIF(B4:W4,"M")&gt;0,"N/A absence longue",IF(X4&gt;=2,"Atteint","Sous objectif"))</f>
        <v>Atteint</v>
      </c>
    </row>
    <row r="5" spans="1:25" ht="18" customHeight="1">
      <c r="A5" s="13" t="s">
        <v>92</v>
      </c>
      <c r="B5" s="14"/>
      <c r="C5" s="20" t="s">
        <v>9</v>
      </c>
      <c r="D5" s="14"/>
      <c r="E5" s="15"/>
      <c r="F5" s="20" t="s">
        <v>9</v>
      </c>
      <c r="G5" s="14"/>
      <c r="H5" s="20" t="s">
        <v>9</v>
      </c>
      <c r="I5" s="14"/>
      <c r="J5" s="21" t="s">
        <v>9</v>
      </c>
      <c r="K5" s="20" t="s">
        <v>9</v>
      </c>
      <c r="L5" s="14"/>
      <c r="M5" s="20" t="s">
        <v>9</v>
      </c>
      <c r="N5" s="14"/>
      <c r="O5" s="21" t="s">
        <v>9</v>
      </c>
      <c r="P5" s="14"/>
      <c r="Q5" s="14"/>
      <c r="R5" s="20" t="s">
        <v>9</v>
      </c>
      <c r="S5" s="14"/>
      <c r="T5" s="15" t="s">
        <v>9</v>
      </c>
      <c r="U5" s="14" t="s">
        <v>9</v>
      </c>
      <c r="V5" s="14"/>
      <c r="W5" s="14" t="s">
        <v>9</v>
      </c>
      <c r="X5" s="17">
        <f t="shared" si="0"/>
        <v>11</v>
      </c>
      <c r="Y5" s="14" t="str">
        <f t="shared" si="1"/>
        <v>Atteint</v>
      </c>
    </row>
    <row r="6" spans="1:25" ht="18" customHeight="1">
      <c r="A6" s="13" t="s">
        <v>74</v>
      </c>
      <c r="B6" s="14"/>
      <c r="C6" s="14"/>
      <c r="D6" s="14"/>
      <c r="E6" s="15"/>
      <c r="F6" s="14"/>
      <c r="G6" s="14"/>
      <c r="H6" s="14"/>
      <c r="I6" s="14"/>
      <c r="J6" s="15"/>
      <c r="K6" s="14"/>
      <c r="L6" s="14"/>
      <c r="M6" s="14"/>
      <c r="N6" s="14"/>
      <c r="O6" s="15"/>
      <c r="P6" s="14"/>
      <c r="Q6" s="14"/>
      <c r="R6" s="16">
        <v>1</v>
      </c>
      <c r="S6" s="14"/>
      <c r="T6" s="15"/>
      <c r="U6" s="14"/>
      <c r="V6" s="14"/>
      <c r="W6" s="14"/>
      <c r="X6" s="17">
        <f t="shared" si="0"/>
        <v>1</v>
      </c>
      <c r="Y6" s="14" t="str">
        <f t="shared" si="1"/>
        <v>Sous objectif</v>
      </c>
    </row>
    <row r="7" spans="1:25" ht="18" customHeight="1">
      <c r="A7" s="13" t="s">
        <v>84</v>
      </c>
      <c r="B7" s="14"/>
      <c r="C7" s="14"/>
      <c r="D7" s="14"/>
      <c r="E7" s="15"/>
      <c r="F7" s="14"/>
      <c r="G7" s="14"/>
      <c r="H7" s="14"/>
      <c r="I7" s="14"/>
      <c r="J7" s="15"/>
      <c r="K7" s="16">
        <v>1</v>
      </c>
      <c r="L7" s="14"/>
      <c r="M7" s="16">
        <v>1</v>
      </c>
      <c r="N7" s="14"/>
      <c r="O7" s="15"/>
      <c r="P7" s="14"/>
      <c r="Q7" s="14"/>
      <c r="R7" s="16">
        <v>1</v>
      </c>
      <c r="S7" s="14"/>
      <c r="T7" s="15"/>
      <c r="U7" s="14">
        <v>1</v>
      </c>
      <c r="V7" s="14"/>
      <c r="W7" s="14"/>
      <c r="X7" s="17">
        <f t="shared" si="0"/>
        <v>4</v>
      </c>
      <c r="Y7" s="14" t="str">
        <f t="shared" si="1"/>
        <v>Atteint</v>
      </c>
    </row>
    <row r="8" spans="1:25" ht="18" customHeight="1">
      <c r="A8" s="13" t="s">
        <v>83</v>
      </c>
      <c r="B8" s="14"/>
      <c r="C8" s="20" t="s">
        <v>9</v>
      </c>
      <c r="D8" s="14"/>
      <c r="E8" s="15"/>
      <c r="F8" s="20" t="s">
        <v>9</v>
      </c>
      <c r="G8" s="14"/>
      <c r="H8" s="20" t="s">
        <v>9</v>
      </c>
      <c r="I8" s="14"/>
      <c r="J8" s="21" t="s">
        <v>9</v>
      </c>
      <c r="K8" s="20" t="s">
        <v>9</v>
      </c>
      <c r="L8" s="14"/>
      <c r="M8" s="20" t="s">
        <v>9</v>
      </c>
      <c r="N8" s="14"/>
      <c r="O8" s="21" t="s">
        <v>9</v>
      </c>
      <c r="P8" s="20" t="s">
        <v>9</v>
      </c>
      <c r="Q8" s="14"/>
      <c r="R8" s="20" t="s">
        <v>9</v>
      </c>
      <c r="S8" s="14"/>
      <c r="T8" s="15" t="s">
        <v>9</v>
      </c>
      <c r="U8" s="14" t="s">
        <v>9</v>
      </c>
      <c r="V8" s="14"/>
      <c r="W8" s="14" t="s">
        <v>9</v>
      </c>
      <c r="X8" s="17">
        <f t="shared" si="0"/>
        <v>12</v>
      </c>
      <c r="Y8" s="14" t="str">
        <f t="shared" si="1"/>
        <v>Atteint</v>
      </c>
    </row>
    <row r="9" spans="1:25" ht="18" customHeight="1">
      <c r="A9" s="13" t="s">
        <v>71</v>
      </c>
      <c r="B9" s="14"/>
      <c r="C9" s="14"/>
      <c r="D9" s="14"/>
      <c r="E9" s="15"/>
      <c r="F9" s="16">
        <v>1</v>
      </c>
      <c r="G9" s="14"/>
      <c r="H9" s="14"/>
      <c r="I9" s="14"/>
      <c r="J9" s="15"/>
      <c r="K9" s="14"/>
      <c r="L9" s="14"/>
      <c r="M9" s="14"/>
      <c r="N9" s="14"/>
      <c r="O9" s="15"/>
      <c r="P9" s="14"/>
      <c r="Q9" s="14"/>
      <c r="R9" s="16">
        <v>1</v>
      </c>
      <c r="S9" s="14"/>
      <c r="T9" s="15"/>
      <c r="U9" s="14"/>
      <c r="V9" s="14"/>
      <c r="W9" s="14"/>
      <c r="X9" s="17">
        <f t="shared" si="0"/>
        <v>2</v>
      </c>
      <c r="Y9" s="14" t="str">
        <f t="shared" si="1"/>
        <v>Atteint</v>
      </c>
    </row>
    <row r="10" spans="1:25" ht="18" customHeight="1">
      <c r="A10" s="13" t="s">
        <v>86</v>
      </c>
      <c r="B10" s="14"/>
      <c r="C10" s="14"/>
      <c r="D10" s="14"/>
      <c r="E10" s="15"/>
      <c r="F10" s="14"/>
      <c r="G10" s="14"/>
      <c r="H10" s="16">
        <v>1</v>
      </c>
      <c r="I10" s="14"/>
      <c r="J10" s="15"/>
      <c r="K10" s="16">
        <v>1</v>
      </c>
      <c r="L10" s="14"/>
      <c r="M10" s="16">
        <v>1</v>
      </c>
      <c r="N10" s="14"/>
      <c r="O10" s="15"/>
      <c r="P10" s="14"/>
      <c r="Q10" s="14"/>
      <c r="R10" s="16">
        <v>1</v>
      </c>
      <c r="S10" s="14"/>
      <c r="T10" s="15"/>
      <c r="U10" s="14">
        <v>1</v>
      </c>
      <c r="V10" s="14"/>
      <c r="W10" s="14">
        <v>1</v>
      </c>
      <c r="X10" s="17">
        <f t="shared" si="0"/>
        <v>6</v>
      </c>
      <c r="Y10" s="14" t="str">
        <f t="shared" si="1"/>
        <v>Atteint</v>
      </c>
    </row>
    <row r="11" spans="1:25" ht="18" customHeight="1">
      <c r="A11" s="13" t="s">
        <v>82</v>
      </c>
      <c r="B11" s="14"/>
      <c r="C11" s="16">
        <v>1</v>
      </c>
      <c r="D11" s="14"/>
      <c r="E11" s="15"/>
      <c r="F11" s="14"/>
      <c r="G11" s="14"/>
      <c r="H11" s="14"/>
      <c r="I11" s="14"/>
      <c r="J11" s="15"/>
      <c r="K11" s="14"/>
      <c r="L11" s="14"/>
      <c r="M11" s="14"/>
      <c r="N11" s="14"/>
      <c r="O11" s="15"/>
      <c r="P11" s="14"/>
      <c r="Q11" s="14"/>
      <c r="R11" s="16">
        <v>1</v>
      </c>
      <c r="S11" s="14"/>
      <c r="T11" s="15"/>
      <c r="U11" s="14"/>
      <c r="V11" s="14"/>
      <c r="W11" s="14"/>
      <c r="X11" s="17">
        <f t="shared" si="0"/>
        <v>2</v>
      </c>
      <c r="Y11" s="14" t="str">
        <f t="shared" si="1"/>
        <v>Atteint</v>
      </c>
    </row>
    <row r="12" spans="1:25" ht="18" customHeight="1">
      <c r="A12" s="13" t="s">
        <v>70</v>
      </c>
      <c r="B12" s="14"/>
      <c r="C12" s="14"/>
      <c r="D12" s="14"/>
      <c r="E12" s="15"/>
      <c r="F12" s="14"/>
      <c r="G12" s="14"/>
      <c r="H12" s="14"/>
      <c r="I12" s="14"/>
      <c r="J12" s="15"/>
      <c r="K12" s="14"/>
      <c r="L12" s="14"/>
      <c r="M12" s="14"/>
      <c r="N12" s="14"/>
      <c r="O12" s="15"/>
      <c r="P12" s="14"/>
      <c r="Q12" s="14"/>
      <c r="R12" s="16">
        <v>1</v>
      </c>
      <c r="S12" s="14"/>
      <c r="T12" s="15"/>
      <c r="U12" s="14"/>
      <c r="V12" s="14"/>
      <c r="W12" s="14"/>
      <c r="X12" s="17">
        <f t="shared" si="0"/>
        <v>1</v>
      </c>
      <c r="Y12" s="14" t="str">
        <f t="shared" si="1"/>
        <v>Sous objectif</v>
      </c>
    </row>
    <row r="13" spans="1:25" ht="18" customHeight="1">
      <c r="A13" s="13" t="s">
        <v>67</v>
      </c>
      <c r="B13" s="14"/>
      <c r="C13" s="14"/>
      <c r="D13" s="14"/>
      <c r="E13" s="15"/>
      <c r="F13" s="16">
        <v>1</v>
      </c>
      <c r="G13" s="14"/>
      <c r="H13" s="14"/>
      <c r="I13" s="14"/>
      <c r="J13" s="15"/>
      <c r="K13" s="14"/>
      <c r="L13" s="14"/>
      <c r="M13" s="14"/>
      <c r="N13" s="14"/>
      <c r="O13" s="15"/>
      <c r="P13" s="14"/>
      <c r="Q13" s="14"/>
      <c r="R13" s="14"/>
      <c r="S13" s="14"/>
      <c r="T13" s="15"/>
      <c r="U13" s="14"/>
      <c r="V13" s="14"/>
      <c r="W13" s="14"/>
      <c r="X13" s="17">
        <f t="shared" si="0"/>
        <v>1</v>
      </c>
      <c r="Y13" s="14" t="str">
        <f t="shared" si="1"/>
        <v>Sous objectif</v>
      </c>
    </row>
    <row r="14" spans="1:25" ht="18" customHeight="1">
      <c r="A14" s="13" t="s">
        <v>90</v>
      </c>
      <c r="B14" s="14"/>
      <c r="C14" s="14"/>
      <c r="D14" s="14"/>
      <c r="E14" s="15"/>
      <c r="F14" s="14"/>
      <c r="G14" s="14"/>
      <c r="H14" s="14"/>
      <c r="I14" s="14"/>
      <c r="J14" s="15"/>
      <c r="K14" s="14"/>
      <c r="L14" s="14"/>
      <c r="M14" s="16">
        <v>1</v>
      </c>
      <c r="N14" s="14"/>
      <c r="O14" s="15"/>
      <c r="P14" s="14"/>
      <c r="Q14" s="14"/>
      <c r="R14" s="16">
        <v>1</v>
      </c>
      <c r="S14" s="14"/>
      <c r="T14" s="15"/>
      <c r="U14" s="14"/>
      <c r="V14" s="14"/>
      <c r="W14" s="14"/>
      <c r="X14" s="17">
        <f t="shared" si="0"/>
        <v>2</v>
      </c>
      <c r="Y14" s="14" t="str">
        <f t="shared" si="1"/>
        <v>Atteint</v>
      </c>
    </row>
    <row r="15" spans="1:25" ht="18" customHeight="1">
      <c r="A15" s="13" t="s">
        <v>78</v>
      </c>
      <c r="B15" s="14"/>
      <c r="C15" s="14"/>
      <c r="D15" s="14"/>
      <c r="E15" s="15"/>
      <c r="F15" s="14"/>
      <c r="G15" s="14"/>
      <c r="H15" s="14"/>
      <c r="I15" s="14"/>
      <c r="J15" s="22">
        <v>1</v>
      </c>
      <c r="K15" s="14"/>
      <c r="L15" s="16">
        <v>1</v>
      </c>
      <c r="M15" s="14"/>
      <c r="N15" s="14"/>
      <c r="O15" s="15"/>
      <c r="P15" s="14"/>
      <c r="Q15" s="14"/>
      <c r="R15" s="16">
        <v>1</v>
      </c>
      <c r="S15" s="14"/>
      <c r="T15" s="15"/>
      <c r="U15" s="14">
        <v>1</v>
      </c>
      <c r="V15" s="14"/>
      <c r="W15" s="14"/>
      <c r="X15" s="17">
        <f t="shared" si="0"/>
        <v>4</v>
      </c>
      <c r="Y15" s="14" t="str">
        <f t="shared" si="1"/>
        <v>Atteint</v>
      </c>
    </row>
    <row r="16" spans="1:25" ht="18" customHeight="1">
      <c r="A16" s="13" t="s">
        <v>91</v>
      </c>
      <c r="B16" s="14"/>
      <c r="C16" s="14"/>
      <c r="D16" s="14"/>
      <c r="E16" s="15"/>
      <c r="F16" s="16">
        <v>1</v>
      </c>
      <c r="G16" s="14"/>
      <c r="H16" s="14"/>
      <c r="I16" s="14"/>
      <c r="J16" s="15"/>
      <c r="K16" s="14"/>
      <c r="L16" s="14"/>
      <c r="M16" s="14"/>
      <c r="N16" s="14"/>
      <c r="O16" s="15"/>
      <c r="P16" s="14"/>
      <c r="Q16" s="14"/>
      <c r="R16" s="16">
        <v>1</v>
      </c>
      <c r="S16" s="14"/>
      <c r="T16" s="15"/>
      <c r="U16" s="14"/>
      <c r="V16" s="14"/>
      <c r="W16" s="14"/>
      <c r="X16" s="17">
        <f t="shared" si="0"/>
        <v>2</v>
      </c>
      <c r="Y16" s="14" t="str">
        <f t="shared" si="1"/>
        <v>Atteint</v>
      </c>
    </row>
    <row r="17" spans="1:25" ht="18" customHeight="1">
      <c r="A17" s="13" t="s">
        <v>75</v>
      </c>
      <c r="B17" s="14"/>
      <c r="C17" s="14"/>
      <c r="D17" s="14"/>
      <c r="E17" s="15"/>
      <c r="F17" s="16">
        <v>1</v>
      </c>
      <c r="G17" s="14"/>
      <c r="H17" s="14"/>
      <c r="I17" s="14"/>
      <c r="J17" s="15"/>
      <c r="K17" s="14"/>
      <c r="L17" s="14"/>
      <c r="M17" s="14"/>
      <c r="N17" s="14"/>
      <c r="O17" s="21" t="s">
        <v>9</v>
      </c>
      <c r="P17" s="14"/>
      <c r="Q17" s="20" t="s">
        <v>9</v>
      </c>
      <c r="R17" s="14"/>
      <c r="S17" s="14"/>
      <c r="T17" s="15"/>
      <c r="U17" s="14"/>
      <c r="V17" s="14"/>
      <c r="W17" s="14"/>
      <c r="X17" s="17">
        <f t="shared" si="0"/>
        <v>3</v>
      </c>
      <c r="Y17" s="14" t="str">
        <f t="shared" si="1"/>
        <v>Atteint</v>
      </c>
    </row>
    <row r="18" spans="1:25" ht="18" customHeight="1">
      <c r="A18" s="13" t="s">
        <v>81</v>
      </c>
      <c r="B18" s="14"/>
      <c r="C18" s="14"/>
      <c r="D18" s="14"/>
      <c r="E18" s="15"/>
      <c r="F18" s="16">
        <v>1</v>
      </c>
      <c r="G18" s="14"/>
      <c r="H18" s="14"/>
      <c r="I18" s="14"/>
      <c r="J18" s="15"/>
      <c r="K18" s="14"/>
      <c r="L18" s="14"/>
      <c r="M18" s="14"/>
      <c r="N18" s="14"/>
      <c r="O18" s="15"/>
      <c r="P18" s="14"/>
      <c r="Q18" s="14"/>
      <c r="R18" s="16">
        <v>1</v>
      </c>
      <c r="S18" s="14"/>
      <c r="T18" s="15"/>
      <c r="U18" s="14"/>
      <c r="V18" s="14"/>
      <c r="W18" s="14"/>
      <c r="X18" s="17">
        <f t="shared" si="0"/>
        <v>2</v>
      </c>
      <c r="Y18" s="14" t="str">
        <f t="shared" si="1"/>
        <v>Atteint</v>
      </c>
    </row>
    <row r="19" spans="1:25" ht="18" customHeight="1">
      <c r="A19" s="13" t="s">
        <v>89</v>
      </c>
      <c r="B19" s="14"/>
      <c r="C19" s="14"/>
      <c r="D19" s="14"/>
      <c r="E19" s="15"/>
      <c r="F19" s="16">
        <v>1</v>
      </c>
      <c r="G19" s="14"/>
      <c r="H19" s="14"/>
      <c r="I19" s="14"/>
      <c r="J19" s="15"/>
      <c r="K19" s="14"/>
      <c r="L19" s="14"/>
      <c r="M19" s="14"/>
      <c r="N19" s="14"/>
      <c r="O19" s="15"/>
      <c r="P19" s="14"/>
      <c r="Q19" s="14"/>
      <c r="R19" s="16">
        <v>1</v>
      </c>
      <c r="S19" s="14"/>
      <c r="T19" s="15"/>
      <c r="U19" s="14">
        <v>1</v>
      </c>
      <c r="V19" s="14"/>
      <c r="W19" s="14"/>
      <c r="X19" s="17">
        <f t="shared" si="0"/>
        <v>3</v>
      </c>
      <c r="Y19" s="14" t="str">
        <f t="shared" si="1"/>
        <v>Atteint</v>
      </c>
    </row>
    <row r="20" spans="1:25" ht="18" customHeight="1">
      <c r="A20" s="13" t="s">
        <v>80</v>
      </c>
      <c r="B20" s="14"/>
      <c r="C20" s="14"/>
      <c r="D20" s="14"/>
      <c r="E20" s="15"/>
      <c r="F20" s="14"/>
      <c r="G20" s="14"/>
      <c r="H20" s="16">
        <v>1</v>
      </c>
      <c r="I20" s="14"/>
      <c r="J20" s="15"/>
      <c r="K20" s="14"/>
      <c r="L20" s="16">
        <v>1</v>
      </c>
      <c r="M20" s="14"/>
      <c r="N20" s="14"/>
      <c r="O20" s="15"/>
      <c r="P20" s="14"/>
      <c r="Q20" s="14"/>
      <c r="R20" s="16">
        <v>1</v>
      </c>
      <c r="S20" s="14"/>
      <c r="T20" s="15"/>
      <c r="U20" s="14"/>
      <c r="V20" s="14"/>
      <c r="W20" s="14"/>
      <c r="X20" s="17">
        <f t="shared" si="0"/>
        <v>3</v>
      </c>
      <c r="Y20" s="14" t="str">
        <f t="shared" si="1"/>
        <v>Atteint</v>
      </c>
    </row>
    <row r="21" spans="1:25" ht="18" customHeight="1">
      <c r="A21" s="13" t="s">
        <v>72</v>
      </c>
      <c r="B21" s="14"/>
      <c r="C21" s="14"/>
      <c r="D21" s="14"/>
      <c r="E21" s="15"/>
      <c r="F21" s="16">
        <v>1</v>
      </c>
      <c r="G21" s="14"/>
      <c r="H21" s="14"/>
      <c r="I21" s="14"/>
      <c r="J21" s="22">
        <v>1</v>
      </c>
      <c r="K21" s="14"/>
      <c r="L21" s="14"/>
      <c r="M21" s="14"/>
      <c r="N21" s="14"/>
      <c r="O21" s="15"/>
      <c r="P21" s="14"/>
      <c r="Q21" s="14"/>
      <c r="R21" s="16">
        <v>1</v>
      </c>
      <c r="S21" s="14"/>
      <c r="T21" s="15"/>
      <c r="U21" s="14"/>
      <c r="V21" s="14"/>
      <c r="W21" s="14"/>
      <c r="X21" s="17">
        <f t="shared" si="0"/>
        <v>3</v>
      </c>
      <c r="Y21" s="14" t="str">
        <f t="shared" si="1"/>
        <v>Atteint</v>
      </c>
    </row>
    <row r="22" spans="1:25" ht="18" customHeight="1">
      <c r="A22" s="13" t="s">
        <v>73</v>
      </c>
      <c r="B22" s="14"/>
      <c r="C22" s="14"/>
      <c r="D22" s="14"/>
      <c r="E22" s="15"/>
      <c r="F22" s="14"/>
      <c r="G22" s="14"/>
      <c r="H22" s="14"/>
      <c r="I22" s="14"/>
      <c r="J22" s="15"/>
      <c r="K22" s="14"/>
      <c r="L22" s="14"/>
      <c r="M22" s="16">
        <v>1</v>
      </c>
      <c r="N22" s="14"/>
      <c r="O22" s="15"/>
      <c r="P22" s="14"/>
      <c r="Q22" s="14"/>
      <c r="R22" s="16">
        <v>1</v>
      </c>
      <c r="S22" s="14"/>
      <c r="T22" s="15"/>
      <c r="U22" s="14"/>
      <c r="V22" s="14"/>
      <c r="W22" s="14"/>
      <c r="X22" s="17">
        <f t="shared" si="0"/>
        <v>2</v>
      </c>
      <c r="Y22" s="14" t="str">
        <f t="shared" si="1"/>
        <v>Atteint</v>
      </c>
    </row>
    <row r="23" spans="1:25" ht="18" customHeight="1">
      <c r="A23" s="13" t="s">
        <v>69</v>
      </c>
      <c r="B23" s="14"/>
      <c r="C23" s="14"/>
      <c r="D23" s="14"/>
      <c r="E23" s="15"/>
      <c r="F23" s="14"/>
      <c r="G23" s="14"/>
      <c r="H23" s="14"/>
      <c r="I23" s="14"/>
      <c r="J23" s="15"/>
      <c r="K23" s="14"/>
      <c r="L23" s="14"/>
      <c r="M23" s="16">
        <v>1</v>
      </c>
      <c r="N23" s="14"/>
      <c r="O23" s="15"/>
      <c r="P23" s="14"/>
      <c r="Q23" s="14"/>
      <c r="R23" s="16">
        <v>1</v>
      </c>
      <c r="S23" s="14"/>
      <c r="T23" s="15"/>
      <c r="U23" s="14"/>
      <c r="V23" s="14"/>
      <c r="W23" s="14"/>
      <c r="X23" s="17">
        <f t="shared" si="0"/>
        <v>2</v>
      </c>
      <c r="Y23" s="14" t="str">
        <f t="shared" si="1"/>
        <v>Atteint</v>
      </c>
    </row>
    <row r="24" spans="1:25" ht="18" customHeight="1">
      <c r="A24" s="13" t="s">
        <v>76</v>
      </c>
      <c r="B24" s="14"/>
      <c r="C24" s="20" t="s">
        <v>9</v>
      </c>
      <c r="D24" s="14"/>
      <c r="E24" s="15"/>
      <c r="F24" s="14"/>
      <c r="G24" s="14"/>
      <c r="H24" s="14"/>
      <c r="I24" s="14"/>
      <c r="J24" s="15"/>
      <c r="K24" s="14"/>
      <c r="L24" s="14"/>
      <c r="M24" s="14"/>
      <c r="N24" s="14"/>
      <c r="O24" s="15"/>
      <c r="P24" s="14"/>
      <c r="Q24" s="14"/>
      <c r="R24" s="16">
        <v>1</v>
      </c>
      <c r="S24" s="14"/>
      <c r="T24" s="15"/>
      <c r="U24" s="14"/>
      <c r="V24" s="14"/>
      <c r="W24" s="14"/>
      <c r="X24" s="17">
        <f t="shared" si="0"/>
        <v>2</v>
      </c>
      <c r="Y24" s="14" t="str">
        <f t="shared" si="1"/>
        <v>Atteint</v>
      </c>
    </row>
    <row r="25" spans="1:25" ht="18" customHeight="1">
      <c r="A25" s="13" t="s">
        <v>79</v>
      </c>
      <c r="B25" s="14"/>
      <c r="C25" s="14"/>
      <c r="D25" s="14"/>
      <c r="E25" s="15"/>
      <c r="F25" s="14"/>
      <c r="G25" s="14"/>
      <c r="H25" s="14"/>
      <c r="I25" s="14"/>
      <c r="J25" s="22">
        <v>1</v>
      </c>
      <c r="K25" s="14"/>
      <c r="L25" s="14"/>
      <c r="M25" s="14"/>
      <c r="N25" s="14"/>
      <c r="O25" s="15"/>
      <c r="P25" s="14"/>
      <c r="Q25" s="14"/>
      <c r="R25" s="16">
        <v>1</v>
      </c>
      <c r="S25" s="14"/>
      <c r="T25" s="15"/>
      <c r="U25" s="14"/>
      <c r="V25" s="14"/>
      <c r="W25" s="14"/>
      <c r="X25" s="17">
        <f t="shared" si="0"/>
        <v>2</v>
      </c>
      <c r="Y25" s="14" t="str">
        <f t="shared" si="1"/>
        <v>Atteint</v>
      </c>
    </row>
    <row r="26" spans="1:25" ht="18" customHeight="1">
      <c r="A26" s="13" t="s">
        <v>87</v>
      </c>
      <c r="B26" s="14"/>
      <c r="C26" s="14"/>
      <c r="D26" s="14"/>
      <c r="E26" s="15"/>
      <c r="F26" s="14"/>
      <c r="G26" s="14"/>
      <c r="H26" s="14"/>
      <c r="I26" s="14"/>
      <c r="J26" s="15"/>
      <c r="K26" s="14"/>
      <c r="L26" s="14"/>
      <c r="M26" s="14"/>
      <c r="N26" s="14"/>
      <c r="O26" s="15"/>
      <c r="P26" s="14"/>
      <c r="Q26" s="14"/>
      <c r="R26" s="16">
        <v>1</v>
      </c>
      <c r="S26" s="14"/>
      <c r="T26" s="15"/>
      <c r="U26" s="14"/>
      <c r="V26" s="14"/>
      <c r="W26" s="14"/>
      <c r="X26" s="17">
        <f t="shared" si="0"/>
        <v>1</v>
      </c>
      <c r="Y26" s="14" t="str">
        <f t="shared" si="1"/>
        <v>Sous objectif</v>
      </c>
    </row>
    <row r="27" spans="1:25" ht="18" customHeight="1">
      <c r="A27" s="13" t="s">
        <v>88</v>
      </c>
      <c r="B27" s="14"/>
      <c r="C27" s="14"/>
      <c r="D27" s="14"/>
      <c r="E27" s="15"/>
      <c r="F27" s="14"/>
      <c r="G27" s="14"/>
      <c r="H27" s="14"/>
      <c r="I27" s="14"/>
      <c r="J27" s="15"/>
      <c r="K27" s="14"/>
      <c r="L27" s="14"/>
      <c r="M27" s="14"/>
      <c r="N27" s="14"/>
      <c r="O27" s="15"/>
      <c r="P27" s="14"/>
      <c r="Q27" s="14"/>
      <c r="R27" s="16">
        <v>1</v>
      </c>
      <c r="S27" s="14"/>
      <c r="T27" s="15"/>
      <c r="U27" s="14">
        <v>1</v>
      </c>
      <c r="V27" s="14"/>
      <c r="W27" s="14"/>
      <c r="X27" s="17">
        <f t="shared" si="0"/>
        <v>2</v>
      </c>
      <c r="Y27" s="14" t="str">
        <f t="shared" si="1"/>
        <v>Atteint</v>
      </c>
    </row>
    <row r="28" spans="1:25" ht="18" customHeight="1">
      <c r="A28" s="13" t="s">
        <v>85</v>
      </c>
      <c r="B28" s="14"/>
      <c r="C28" s="14"/>
      <c r="D28" s="14"/>
      <c r="E28" s="15"/>
      <c r="F28" s="16">
        <v>1</v>
      </c>
      <c r="G28" s="14"/>
      <c r="H28" s="14"/>
      <c r="I28" s="14"/>
      <c r="J28" s="15"/>
      <c r="K28" s="16">
        <v>1</v>
      </c>
      <c r="L28" s="14"/>
      <c r="M28" s="14"/>
      <c r="N28" s="14"/>
      <c r="O28" s="15"/>
      <c r="P28" s="14"/>
      <c r="Q28" s="14"/>
      <c r="R28" s="16">
        <v>1</v>
      </c>
      <c r="S28" s="14"/>
      <c r="T28" s="15"/>
      <c r="U28" s="14"/>
      <c r="V28" s="14"/>
      <c r="W28" s="14"/>
      <c r="X28" s="17">
        <f t="shared" si="0"/>
        <v>3</v>
      </c>
      <c r="Y28" s="14" t="str">
        <f t="shared" si="1"/>
        <v>Atteint</v>
      </c>
    </row>
    <row r="29" spans="1:25" ht="18" customHeight="1">
      <c r="A29" s="13" t="s">
        <v>68</v>
      </c>
      <c r="B29" s="14"/>
      <c r="C29" s="14"/>
      <c r="D29" s="14"/>
      <c r="E29" s="15"/>
      <c r="F29" s="16">
        <v>1</v>
      </c>
      <c r="G29" s="14"/>
      <c r="H29" s="14"/>
      <c r="I29" s="14"/>
      <c r="J29" s="15"/>
      <c r="K29" s="16">
        <v>1</v>
      </c>
      <c r="L29" s="14"/>
      <c r="M29" s="14"/>
      <c r="N29" s="14"/>
      <c r="O29" s="15"/>
      <c r="P29" s="16">
        <v>1</v>
      </c>
      <c r="Q29" s="14"/>
      <c r="R29" s="16">
        <v>1</v>
      </c>
      <c r="S29" s="14"/>
      <c r="T29" s="15"/>
      <c r="U29" s="14"/>
      <c r="V29" s="14"/>
      <c r="W29" s="14"/>
      <c r="X29" s="17">
        <f t="shared" si="0"/>
        <v>4</v>
      </c>
      <c r="Y29" s="14" t="str">
        <f t="shared" si="1"/>
        <v>Atteint</v>
      </c>
    </row>
    <row r="31" spans="1:25" ht="15.75" customHeight="1">
      <c r="A31" s="23" t="s">
        <v>112</v>
      </c>
    </row>
    <row r="32" spans="1:25" ht="15.75" customHeight="1">
      <c r="A32" s="24" t="s">
        <v>106</v>
      </c>
      <c r="B32" s="14"/>
      <c r="C32" s="14"/>
      <c r="D32" s="14"/>
      <c r="E32" s="15"/>
      <c r="F32" s="14"/>
      <c r="G32" s="14"/>
      <c r="H32" s="14"/>
      <c r="I32" s="14"/>
      <c r="J32" s="15"/>
      <c r="K32" s="14"/>
      <c r="L32" s="14"/>
      <c r="M32" s="14"/>
      <c r="N32" s="14"/>
      <c r="O32" s="15"/>
      <c r="P32" s="14"/>
      <c r="Q32" s="14"/>
      <c r="R32" s="25" t="s">
        <v>18</v>
      </c>
      <c r="S32" s="14"/>
      <c r="T32" s="15"/>
      <c r="U32" s="14"/>
      <c r="V32" s="14"/>
      <c r="W32" s="14"/>
    </row>
    <row r="33" spans="1:23" ht="15.75" customHeight="1">
      <c r="A33" s="24" t="s">
        <v>104</v>
      </c>
      <c r="B33" s="14"/>
      <c r="C33" s="14"/>
      <c r="D33" s="14"/>
      <c r="E33" s="15"/>
      <c r="F33" s="14"/>
      <c r="G33" s="14"/>
      <c r="H33" s="14"/>
      <c r="I33" s="14"/>
      <c r="J33" s="15"/>
      <c r="K33" s="14"/>
      <c r="L33" s="14"/>
      <c r="M33" s="14"/>
      <c r="N33" s="14"/>
      <c r="O33" s="15"/>
      <c r="P33" s="14"/>
      <c r="Q33" s="14"/>
      <c r="R33" s="14"/>
      <c r="S33" s="14"/>
      <c r="T33" s="15"/>
      <c r="U33" s="14"/>
      <c r="V33" s="14"/>
      <c r="W33" s="14"/>
    </row>
    <row r="34" spans="1:23" ht="15.75" customHeight="1">
      <c r="A34" s="24" t="s">
        <v>113</v>
      </c>
      <c r="B34" s="14"/>
      <c r="C34" s="14"/>
      <c r="D34" s="14"/>
      <c r="E34" s="15"/>
      <c r="F34" s="14"/>
      <c r="G34" s="14"/>
      <c r="H34" s="14"/>
      <c r="I34" s="14"/>
      <c r="J34" s="15"/>
      <c r="K34" s="14"/>
      <c r="L34" s="14"/>
      <c r="M34" s="14"/>
      <c r="N34" s="14"/>
      <c r="O34" s="15"/>
      <c r="P34" s="14"/>
      <c r="Q34" s="14"/>
      <c r="R34" s="14"/>
      <c r="S34" s="14"/>
      <c r="T34" s="15"/>
      <c r="U34" s="14"/>
      <c r="V34" s="14"/>
      <c r="W34" s="14"/>
    </row>
  </sheetData>
  <mergeCells count="1">
    <mergeCell ref="A1:Y1"/>
  </mergeCells>
  <conditionalFormatting sqref="B4:W29">
    <cfRule type="cellIs" dxfId="15" priority="2" operator="equal">
      <formula>1</formula>
    </cfRule>
    <cfRule type="cellIs" dxfId="14" priority="3" operator="equal">
      <formula>"IC"</formula>
    </cfRule>
    <cfRule type="cellIs" dxfId="13" priority="4" operator="equal">
      <formula>"M"</formula>
    </cfRule>
  </conditionalFormatting>
  <conditionalFormatting sqref="B32:W34">
    <cfRule type="cellIs" dxfId="12" priority="5" operator="equal">
      <formula>"X"</formula>
    </cfRule>
  </conditionalFormatting>
  <dataValidations count="2">
    <dataValidation type="list" allowBlank="1" showErrorMessage="1" errorTitle="Valeur invalide" error="Valeurs autorisées : X ou vide." sqref="B32:W34" xr:uid="{00000000-0002-0000-0500-000000000000}">
      <formula1>"X"</formula1>
      <formula2>0</formula2>
    </dataValidation>
    <dataValidation type="list" allowBlank="1" showErrorMessage="1" errorTitle="Valeur invalide" error="Valeurs autorisées : 1, IC, M ou vide." sqref="B4:W29" xr:uid="{00000000-0002-0000-0500-000001000000}">
      <formula1>"1,IC,M"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V34"/>
  <sheetViews>
    <sheetView zoomScaleNormal="100" workbookViewId="0">
      <selection activeCell="W17" sqref="W17"/>
    </sheetView>
  </sheetViews>
  <sheetFormatPr baseColWidth="10" defaultColWidth="8.83203125" defaultRowHeight="15"/>
  <cols>
    <col min="1" max="1" width="26" customWidth="1"/>
    <col min="2" max="21" width="8" customWidth="1"/>
    <col min="22" max="22" width="18" customWidth="1"/>
  </cols>
  <sheetData>
    <row r="1" spans="1:22" ht="21.75" customHeight="1">
      <c r="A1" s="2" t="s">
        <v>116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</row>
    <row r="3" spans="1:22" ht="21.75" customHeight="1">
      <c r="A3" s="8" t="s">
        <v>64</v>
      </c>
      <c r="B3" s="9">
        <v>46146</v>
      </c>
      <c r="C3" s="9">
        <v>46147</v>
      </c>
      <c r="D3" s="9">
        <v>46148</v>
      </c>
      <c r="E3" s="9">
        <v>46149</v>
      </c>
      <c r="F3" s="9">
        <v>46150</v>
      </c>
      <c r="G3" s="9">
        <v>46153</v>
      </c>
      <c r="H3" s="9">
        <v>46154</v>
      </c>
      <c r="I3" s="9">
        <v>46155</v>
      </c>
      <c r="J3" s="9">
        <v>46157</v>
      </c>
      <c r="K3" s="9">
        <v>46160</v>
      </c>
      <c r="L3" s="9">
        <v>46161</v>
      </c>
      <c r="M3" s="9">
        <v>46162</v>
      </c>
      <c r="N3" s="9">
        <v>46163</v>
      </c>
      <c r="O3" s="9">
        <v>46164</v>
      </c>
      <c r="P3" s="9">
        <v>46168</v>
      </c>
      <c r="Q3" s="9">
        <v>46169</v>
      </c>
      <c r="R3" s="9">
        <v>46170</v>
      </c>
      <c r="S3" s="9">
        <v>46171</v>
      </c>
      <c r="T3" s="11" t="s">
        <v>110</v>
      </c>
      <c r="U3" s="12" t="s">
        <v>111</v>
      </c>
      <c r="V3" s="12"/>
    </row>
    <row r="4" spans="1:22" ht="18" customHeight="1">
      <c r="A4" s="13" t="s">
        <v>77</v>
      </c>
      <c r="B4" s="14"/>
      <c r="C4" s="14"/>
      <c r="D4" s="15">
        <v>1</v>
      </c>
      <c r="E4" s="14"/>
      <c r="F4" s="14"/>
      <c r="G4" s="14"/>
      <c r="H4" s="14"/>
      <c r="I4" s="15"/>
      <c r="J4" s="14"/>
      <c r="K4" s="14"/>
      <c r="L4" s="14">
        <v>1</v>
      </c>
      <c r="M4" s="15"/>
      <c r="N4" s="14"/>
      <c r="O4" s="14"/>
      <c r="P4" s="14"/>
      <c r="Q4" s="15"/>
      <c r="R4" s="14">
        <v>1</v>
      </c>
      <c r="S4" s="14"/>
      <c r="T4" s="17">
        <f t="shared" ref="T4:T29" si="0">COUNTIF(B4:S4,1)+COUNTIF(B4:S4,"IC")</f>
        <v>3</v>
      </c>
      <c r="U4" s="14" t="str">
        <f t="shared" ref="U4:U29" si="1">IF(COUNTIF(B4:S4,"M")&gt;0,"N/A absence longue",IF(T4&gt;=2,"Atteint","Sous objectif"))</f>
        <v>Atteint</v>
      </c>
      <c r="V4" s="14"/>
    </row>
    <row r="5" spans="1:22" ht="18" customHeight="1">
      <c r="A5" s="13" t="s">
        <v>92</v>
      </c>
      <c r="B5" s="14" t="s">
        <v>9</v>
      </c>
      <c r="C5" s="14" t="s">
        <v>9</v>
      </c>
      <c r="D5" s="15"/>
      <c r="E5" s="14" t="s">
        <v>9</v>
      </c>
      <c r="F5" s="14"/>
      <c r="G5" s="14"/>
      <c r="H5" s="14" t="s">
        <v>9</v>
      </c>
      <c r="I5" s="15"/>
      <c r="J5" s="14"/>
      <c r="K5" s="14" t="s">
        <v>9</v>
      </c>
      <c r="L5" s="14" t="s">
        <v>9</v>
      </c>
      <c r="M5" s="15"/>
      <c r="N5" s="14" t="s">
        <v>9</v>
      </c>
      <c r="O5" s="14"/>
      <c r="P5" s="14"/>
      <c r="Q5" s="15"/>
      <c r="R5" s="14" t="s">
        <v>9</v>
      </c>
      <c r="S5" s="14"/>
      <c r="T5" s="17">
        <f t="shared" si="0"/>
        <v>8</v>
      </c>
      <c r="U5" s="14" t="str">
        <f t="shared" si="1"/>
        <v>Atteint</v>
      </c>
      <c r="V5" s="14"/>
    </row>
    <row r="6" spans="1:22" ht="18" customHeight="1">
      <c r="A6" s="13" t="s">
        <v>74</v>
      </c>
      <c r="B6" s="14"/>
      <c r="C6" s="14"/>
      <c r="D6" s="15"/>
      <c r="E6" s="14"/>
      <c r="F6" s="14"/>
      <c r="G6" s="14"/>
      <c r="H6" s="14"/>
      <c r="I6" s="15"/>
      <c r="J6" s="14"/>
      <c r="K6" s="14"/>
      <c r="L6" s="14"/>
      <c r="M6" s="15"/>
      <c r="N6" s="14"/>
      <c r="O6" s="14"/>
      <c r="P6" s="14"/>
      <c r="Q6" s="15"/>
      <c r="R6" s="14">
        <v>1</v>
      </c>
      <c r="S6" s="14"/>
      <c r="T6" s="17">
        <f t="shared" si="0"/>
        <v>1</v>
      </c>
      <c r="U6" s="14" t="str">
        <f t="shared" si="1"/>
        <v>Sous objectif</v>
      </c>
      <c r="V6" s="14"/>
    </row>
    <row r="7" spans="1:22" ht="18" customHeight="1">
      <c r="A7" s="13" t="s">
        <v>84</v>
      </c>
      <c r="B7" s="14"/>
      <c r="C7" s="14"/>
      <c r="D7" s="15"/>
      <c r="E7" s="14"/>
      <c r="F7" s="14"/>
      <c r="G7" s="14"/>
      <c r="H7" s="14"/>
      <c r="I7" s="15"/>
      <c r="J7" s="14"/>
      <c r="K7" s="14"/>
      <c r="L7" s="14">
        <v>1</v>
      </c>
      <c r="M7" s="15"/>
      <c r="N7" s="14">
        <v>1</v>
      </c>
      <c r="O7" s="14"/>
      <c r="P7" s="14">
        <v>1</v>
      </c>
      <c r="Q7" s="15">
        <v>1</v>
      </c>
      <c r="R7" s="14">
        <v>1</v>
      </c>
      <c r="S7" s="14"/>
      <c r="T7" s="17">
        <f t="shared" si="0"/>
        <v>5</v>
      </c>
      <c r="U7" s="14" t="str">
        <f t="shared" si="1"/>
        <v>Atteint</v>
      </c>
      <c r="V7" s="14"/>
    </row>
    <row r="8" spans="1:22" ht="18" customHeight="1">
      <c r="A8" s="13" t="s">
        <v>83</v>
      </c>
      <c r="B8" s="14" t="s">
        <v>9</v>
      </c>
      <c r="C8" s="14" t="s">
        <v>9</v>
      </c>
      <c r="D8" s="15" t="s">
        <v>9</v>
      </c>
      <c r="E8" s="14" t="s">
        <v>9</v>
      </c>
      <c r="F8" s="14"/>
      <c r="G8" s="14" t="s">
        <v>9</v>
      </c>
      <c r="H8" s="14" t="s">
        <v>9</v>
      </c>
      <c r="I8" s="15"/>
      <c r="J8" s="14" t="s">
        <v>9</v>
      </c>
      <c r="K8" s="14" t="s">
        <v>9</v>
      </c>
      <c r="L8" s="14" t="s">
        <v>9</v>
      </c>
      <c r="M8" s="15"/>
      <c r="N8" s="14" t="s">
        <v>9</v>
      </c>
      <c r="O8" s="14"/>
      <c r="P8" s="14"/>
      <c r="Q8" s="15"/>
      <c r="R8" s="14">
        <v>1</v>
      </c>
      <c r="S8" s="14"/>
      <c r="T8" s="17">
        <f t="shared" si="0"/>
        <v>11</v>
      </c>
      <c r="U8" s="14" t="str">
        <f t="shared" si="1"/>
        <v>Atteint</v>
      </c>
      <c r="V8" s="14"/>
    </row>
    <row r="9" spans="1:22" ht="18" customHeight="1">
      <c r="A9" s="13" t="s">
        <v>71</v>
      </c>
      <c r="B9" s="14" t="s">
        <v>9</v>
      </c>
      <c r="C9" s="14"/>
      <c r="D9" s="15" t="s">
        <v>9</v>
      </c>
      <c r="E9" s="14" t="s">
        <v>9</v>
      </c>
      <c r="F9" s="14"/>
      <c r="G9" s="14" t="s">
        <v>9</v>
      </c>
      <c r="H9" s="14" t="s">
        <v>9</v>
      </c>
      <c r="I9" s="15"/>
      <c r="J9" s="14" t="s">
        <v>9</v>
      </c>
      <c r="K9" s="14" t="s">
        <v>9</v>
      </c>
      <c r="L9" s="14" t="s">
        <v>9</v>
      </c>
      <c r="M9" s="15"/>
      <c r="N9" s="14" t="s">
        <v>9</v>
      </c>
      <c r="O9" s="14"/>
      <c r="P9" s="14"/>
      <c r="Q9" s="15"/>
      <c r="R9" s="14">
        <v>1</v>
      </c>
      <c r="S9" s="14"/>
      <c r="T9" s="17">
        <f t="shared" si="0"/>
        <v>10</v>
      </c>
      <c r="U9" s="14" t="str">
        <f t="shared" si="1"/>
        <v>Atteint</v>
      </c>
      <c r="V9" s="14"/>
    </row>
    <row r="10" spans="1:22" ht="18" customHeight="1">
      <c r="A10" s="13" t="s">
        <v>86</v>
      </c>
      <c r="B10" s="14"/>
      <c r="C10" s="14">
        <v>1</v>
      </c>
      <c r="D10" s="15"/>
      <c r="E10" s="14">
        <v>1</v>
      </c>
      <c r="F10" s="14"/>
      <c r="G10" s="14"/>
      <c r="H10" s="14">
        <v>1</v>
      </c>
      <c r="I10" s="15"/>
      <c r="J10" s="14"/>
      <c r="K10" s="14"/>
      <c r="L10" s="14">
        <v>1</v>
      </c>
      <c r="M10" s="15"/>
      <c r="N10" s="14">
        <v>1</v>
      </c>
      <c r="O10" s="14"/>
      <c r="P10" s="14"/>
      <c r="Q10" s="15"/>
      <c r="R10" s="14">
        <v>1</v>
      </c>
      <c r="S10" s="14"/>
      <c r="T10" s="17">
        <f t="shared" si="0"/>
        <v>6</v>
      </c>
      <c r="U10" s="14" t="str">
        <f t="shared" si="1"/>
        <v>Atteint</v>
      </c>
      <c r="V10" s="14"/>
    </row>
    <row r="11" spans="1:22" ht="18" customHeight="1">
      <c r="A11" s="13" t="s">
        <v>82</v>
      </c>
      <c r="B11" s="14"/>
      <c r="C11" s="14"/>
      <c r="D11" s="15"/>
      <c r="E11" s="14"/>
      <c r="F11" s="14"/>
      <c r="G11" s="14"/>
      <c r="H11" s="14"/>
      <c r="I11" s="15"/>
      <c r="J11" s="14"/>
      <c r="K11" s="14"/>
      <c r="L11" s="14"/>
      <c r="M11" s="15"/>
      <c r="N11" s="14">
        <v>1</v>
      </c>
      <c r="O11" s="14"/>
      <c r="P11" s="14"/>
      <c r="Q11" s="15"/>
      <c r="R11" s="14"/>
      <c r="S11" s="14"/>
      <c r="T11" s="17">
        <f t="shared" si="0"/>
        <v>1</v>
      </c>
      <c r="U11" s="14" t="str">
        <f t="shared" si="1"/>
        <v>Sous objectif</v>
      </c>
      <c r="V11" s="14"/>
    </row>
    <row r="12" spans="1:22" ht="18" customHeight="1">
      <c r="A12" s="13" t="s">
        <v>70</v>
      </c>
      <c r="B12" s="14"/>
      <c r="C12" s="14"/>
      <c r="D12" s="15"/>
      <c r="E12" s="14"/>
      <c r="F12" s="14"/>
      <c r="G12" s="14"/>
      <c r="H12" s="14"/>
      <c r="I12" s="15"/>
      <c r="J12" s="14"/>
      <c r="K12" s="14"/>
      <c r="L12" s="14"/>
      <c r="M12" s="15"/>
      <c r="N12" s="14"/>
      <c r="O12" s="14"/>
      <c r="P12" s="14"/>
      <c r="Q12" s="15"/>
      <c r="R12" s="14">
        <v>1</v>
      </c>
      <c r="S12" s="14"/>
      <c r="T12" s="17">
        <f t="shared" si="0"/>
        <v>1</v>
      </c>
      <c r="U12" s="14" t="str">
        <f t="shared" si="1"/>
        <v>Sous objectif</v>
      </c>
      <c r="V12" s="14"/>
    </row>
    <row r="13" spans="1:22" ht="18" customHeight="1">
      <c r="A13" s="13" t="s">
        <v>67</v>
      </c>
      <c r="B13" s="14"/>
      <c r="C13" s="14"/>
      <c r="D13" s="15"/>
      <c r="E13" s="14"/>
      <c r="F13" s="14"/>
      <c r="G13" s="14"/>
      <c r="H13" s="14"/>
      <c r="I13" s="15"/>
      <c r="J13" s="14"/>
      <c r="K13" s="14"/>
      <c r="L13" s="14">
        <v>1</v>
      </c>
      <c r="M13" s="15"/>
      <c r="N13" s="14"/>
      <c r="O13" s="14"/>
      <c r="P13" s="14"/>
      <c r="Q13" s="15"/>
      <c r="R13" s="14"/>
      <c r="S13" s="14"/>
      <c r="T13" s="17">
        <f t="shared" si="0"/>
        <v>1</v>
      </c>
      <c r="U13" s="14" t="str">
        <f t="shared" si="1"/>
        <v>Sous objectif</v>
      </c>
      <c r="V13" s="14"/>
    </row>
    <row r="14" spans="1:22" ht="18" customHeight="1">
      <c r="A14" s="13" t="s">
        <v>90</v>
      </c>
      <c r="B14" s="14"/>
      <c r="C14" s="14"/>
      <c r="D14" s="15"/>
      <c r="E14" s="14"/>
      <c r="F14" s="14"/>
      <c r="G14" s="14"/>
      <c r="H14" s="14"/>
      <c r="I14" s="15"/>
      <c r="J14" s="14"/>
      <c r="K14" s="14"/>
      <c r="L14" s="14"/>
      <c r="M14" s="15"/>
      <c r="N14" s="14"/>
      <c r="O14" s="14"/>
      <c r="P14" s="14"/>
      <c r="Q14" s="15"/>
      <c r="R14" s="14">
        <v>1</v>
      </c>
      <c r="S14" s="14"/>
      <c r="T14" s="17">
        <f t="shared" si="0"/>
        <v>1</v>
      </c>
      <c r="U14" s="14" t="str">
        <f t="shared" si="1"/>
        <v>Sous objectif</v>
      </c>
      <c r="V14" s="14"/>
    </row>
    <row r="15" spans="1:22" ht="18" customHeight="1">
      <c r="A15" s="13" t="s">
        <v>78</v>
      </c>
      <c r="B15" s="14"/>
      <c r="C15" s="14"/>
      <c r="D15" s="15"/>
      <c r="E15" s="14"/>
      <c r="F15" s="14"/>
      <c r="G15" s="14"/>
      <c r="H15" s="14"/>
      <c r="I15" s="15">
        <v>1</v>
      </c>
      <c r="J15" s="14"/>
      <c r="K15" s="14"/>
      <c r="L15" s="14"/>
      <c r="M15" s="15"/>
      <c r="N15" s="14">
        <v>1</v>
      </c>
      <c r="O15" s="14"/>
      <c r="P15" s="14"/>
      <c r="Q15" s="15"/>
      <c r="R15" s="14">
        <v>1</v>
      </c>
      <c r="S15" s="14"/>
      <c r="T15" s="17">
        <f t="shared" si="0"/>
        <v>3</v>
      </c>
      <c r="U15" s="14" t="str">
        <f t="shared" si="1"/>
        <v>Atteint</v>
      </c>
      <c r="V15" s="14"/>
    </row>
    <row r="16" spans="1:22" ht="18" customHeight="1">
      <c r="A16" s="13" t="s">
        <v>91</v>
      </c>
      <c r="B16" s="14"/>
      <c r="C16" s="14"/>
      <c r="D16" s="15">
        <v>1</v>
      </c>
      <c r="E16" s="14"/>
      <c r="F16" s="14"/>
      <c r="G16" s="14"/>
      <c r="H16" s="14"/>
      <c r="I16" s="15"/>
      <c r="J16" s="14"/>
      <c r="K16" s="14"/>
      <c r="L16" s="14">
        <v>1</v>
      </c>
      <c r="M16" s="15"/>
      <c r="N16" s="14"/>
      <c r="O16" s="14"/>
      <c r="P16" s="14"/>
      <c r="Q16" s="15"/>
      <c r="R16" s="14">
        <v>1</v>
      </c>
      <c r="S16" s="14"/>
      <c r="T16" s="17">
        <f t="shared" si="0"/>
        <v>3</v>
      </c>
      <c r="U16" s="14" t="str">
        <f t="shared" si="1"/>
        <v>Atteint</v>
      </c>
      <c r="V16" s="14"/>
    </row>
    <row r="17" spans="1:22" ht="18" customHeight="1">
      <c r="A17" s="13" t="s">
        <v>75</v>
      </c>
      <c r="B17" s="14" t="s">
        <v>9</v>
      </c>
      <c r="C17" s="14"/>
      <c r="D17" s="15" t="s">
        <v>9</v>
      </c>
      <c r="E17" s="14" t="s">
        <v>9</v>
      </c>
      <c r="F17" s="14"/>
      <c r="G17" s="14" t="s">
        <v>9</v>
      </c>
      <c r="H17" s="14" t="s">
        <v>9</v>
      </c>
      <c r="I17" s="15"/>
      <c r="J17" s="14"/>
      <c r="K17" s="14"/>
      <c r="L17" s="14"/>
      <c r="M17" s="15"/>
      <c r="N17" s="14"/>
      <c r="O17" s="14"/>
      <c r="P17" s="14"/>
      <c r="Q17" s="15" t="s">
        <v>9</v>
      </c>
      <c r="R17" s="14" t="s">
        <v>9</v>
      </c>
      <c r="S17" s="14" t="s">
        <v>9</v>
      </c>
      <c r="T17" s="17">
        <f t="shared" si="0"/>
        <v>8</v>
      </c>
      <c r="U17" s="14" t="str">
        <f t="shared" si="1"/>
        <v>Atteint</v>
      </c>
      <c r="V17" s="14"/>
    </row>
    <row r="18" spans="1:22" ht="18" customHeight="1">
      <c r="A18" s="13" t="s">
        <v>81</v>
      </c>
      <c r="B18" s="14"/>
      <c r="C18" s="14"/>
      <c r="D18" s="15"/>
      <c r="E18" s="14"/>
      <c r="F18" s="14"/>
      <c r="G18" s="14"/>
      <c r="H18" s="14"/>
      <c r="I18" s="15"/>
      <c r="J18" s="14"/>
      <c r="K18" s="14"/>
      <c r="L18" s="14"/>
      <c r="M18" s="15"/>
      <c r="N18" s="14"/>
      <c r="O18" s="14"/>
      <c r="P18" s="14"/>
      <c r="Q18" s="15"/>
      <c r="R18" s="14">
        <v>1</v>
      </c>
      <c r="S18" s="14"/>
      <c r="T18" s="17">
        <f t="shared" si="0"/>
        <v>1</v>
      </c>
      <c r="U18" s="14" t="str">
        <f t="shared" si="1"/>
        <v>Sous objectif</v>
      </c>
      <c r="V18" s="14"/>
    </row>
    <row r="19" spans="1:22" ht="18" customHeight="1">
      <c r="A19" s="13" t="s">
        <v>89</v>
      </c>
      <c r="B19" s="14"/>
      <c r="C19" s="14"/>
      <c r="D19" s="15"/>
      <c r="E19" s="14"/>
      <c r="F19" s="14"/>
      <c r="G19" s="14"/>
      <c r="H19" s="14"/>
      <c r="I19" s="15"/>
      <c r="J19" s="14"/>
      <c r="K19" s="14"/>
      <c r="L19" s="14">
        <v>1</v>
      </c>
      <c r="M19" s="15"/>
      <c r="N19" s="14"/>
      <c r="O19" s="14"/>
      <c r="P19" s="14"/>
      <c r="Q19" s="15"/>
      <c r="R19" s="14">
        <v>1</v>
      </c>
      <c r="S19" s="14"/>
      <c r="T19" s="17">
        <f t="shared" si="0"/>
        <v>2</v>
      </c>
      <c r="U19" s="14" t="str">
        <f t="shared" si="1"/>
        <v>Atteint</v>
      </c>
      <c r="V19" s="14"/>
    </row>
    <row r="20" spans="1:22" ht="18" customHeight="1">
      <c r="A20" s="13" t="s">
        <v>80</v>
      </c>
      <c r="B20" s="14"/>
      <c r="C20" s="14"/>
      <c r="D20" s="15"/>
      <c r="E20" s="14"/>
      <c r="F20" s="14"/>
      <c r="G20" s="14"/>
      <c r="H20" s="14"/>
      <c r="I20" s="15"/>
      <c r="J20" s="14"/>
      <c r="K20" s="14"/>
      <c r="L20" s="14"/>
      <c r="M20" s="15"/>
      <c r="N20" s="14"/>
      <c r="O20" s="14"/>
      <c r="P20" s="14"/>
      <c r="Q20" s="15"/>
      <c r="R20" s="14">
        <v>1</v>
      </c>
      <c r="S20" s="14"/>
      <c r="T20" s="17">
        <f t="shared" si="0"/>
        <v>1</v>
      </c>
      <c r="U20" s="14" t="str">
        <f t="shared" si="1"/>
        <v>Sous objectif</v>
      </c>
      <c r="V20" s="14"/>
    </row>
    <row r="21" spans="1:22" ht="18" customHeight="1">
      <c r="A21" s="13" t="s">
        <v>72</v>
      </c>
      <c r="B21" s="14"/>
      <c r="C21" s="14"/>
      <c r="D21" s="15"/>
      <c r="E21" s="14">
        <v>1</v>
      </c>
      <c r="F21" s="14"/>
      <c r="G21" s="14"/>
      <c r="H21" s="14"/>
      <c r="I21" s="15"/>
      <c r="J21" s="14"/>
      <c r="K21" s="14"/>
      <c r="L21" s="14">
        <v>1</v>
      </c>
      <c r="M21" s="15">
        <v>1</v>
      </c>
      <c r="N21" s="14"/>
      <c r="O21" s="14">
        <v>1</v>
      </c>
      <c r="P21" s="14"/>
      <c r="Q21" s="15"/>
      <c r="R21" s="14">
        <v>1</v>
      </c>
      <c r="S21" s="14"/>
      <c r="T21" s="17">
        <f t="shared" si="0"/>
        <v>5</v>
      </c>
      <c r="U21" s="14" t="str">
        <f t="shared" si="1"/>
        <v>Atteint</v>
      </c>
      <c r="V21" s="14"/>
    </row>
    <row r="22" spans="1:22" ht="18" customHeight="1">
      <c r="A22" s="13" t="s">
        <v>73</v>
      </c>
      <c r="B22" s="14"/>
      <c r="C22" s="14"/>
      <c r="D22" s="15"/>
      <c r="E22" s="14"/>
      <c r="F22" s="14"/>
      <c r="G22" s="14"/>
      <c r="H22" s="14"/>
      <c r="I22" s="15"/>
      <c r="J22" s="14"/>
      <c r="K22" s="14"/>
      <c r="L22" s="14"/>
      <c r="M22" s="15"/>
      <c r="N22" s="14"/>
      <c r="O22" s="14"/>
      <c r="P22" s="14"/>
      <c r="Q22" s="15"/>
      <c r="R22" s="14"/>
      <c r="S22" s="14"/>
      <c r="T22" s="17">
        <f t="shared" si="0"/>
        <v>0</v>
      </c>
      <c r="U22" s="14" t="str">
        <f t="shared" si="1"/>
        <v>Sous objectif</v>
      </c>
      <c r="V22" s="14"/>
    </row>
    <row r="23" spans="1:22" ht="18" customHeight="1">
      <c r="A23" s="13" t="s">
        <v>69</v>
      </c>
      <c r="B23" s="14"/>
      <c r="C23" s="14"/>
      <c r="D23" s="15">
        <v>1</v>
      </c>
      <c r="E23" s="14"/>
      <c r="F23" s="14"/>
      <c r="G23" s="14"/>
      <c r="H23" s="14"/>
      <c r="I23" s="15"/>
      <c r="J23" s="14"/>
      <c r="K23" s="14"/>
      <c r="L23" s="14"/>
      <c r="M23" s="15"/>
      <c r="N23" s="14"/>
      <c r="O23" s="14"/>
      <c r="P23" s="14"/>
      <c r="Q23" s="15"/>
      <c r="R23" s="14">
        <v>1</v>
      </c>
      <c r="S23" s="14"/>
      <c r="T23" s="17">
        <f t="shared" si="0"/>
        <v>2</v>
      </c>
      <c r="U23" s="14" t="str">
        <f t="shared" si="1"/>
        <v>Atteint</v>
      </c>
      <c r="V23" s="14"/>
    </row>
    <row r="24" spans="1:22" ht="18" customHeight="1">
      <c r="A24" s="13" t="s">
        <v>76</v>
      </c>
      <c r="B24" s="14"/>
      <c r="C24" s="14"/>
      <c r="D24" s="15"/>
      <c r="E24" s="14"/>
      <c r="F24" s="14"/>
      <c r="G24" s="14"/>
      <c r="H24" s="14"/>
      <c r="I24" s="15"/>
      <c r="J24" s="14"/>
      <c r="K24" s="14"/>
      <c r="L24" s="14"/>
      <c r="M24" s="15"/>
      <c r="N24" s="14"/>
      <c r="O24" s="14"/>
      <c r="P24" s="14"/>
      <c r="Q24" s="15"/>
      <c r="R24" s="14">
        <v>1</v>
      </c>
      <c r="S24" s="14"/>
      <c r="T24" s="17">
        <f t="shared" si="0"/>
        <v>1</v>
      </c>
      <c r="U24" s="14" t="str">
        <f t="shared" si="1"/>
        <v>Sous objectif</v>
      </c>
      <c r="V24" s="14"/>
    </row>
    <row r="25" spans="1:22" ht="18" customHeight="1">
      <c r="A25" s="13" t="s">
        <v>79</v>
      </c>
      <c r="B25" s="14"/>
      <c r="C25" s="14"/>
      <c r="D25" s="15">
        <v>1</v>
      </c>
      <c r="E25" s="14"/>
      <c r="F25" s="14"/>
      <c r="G25" s="14"/>
      <c r="H25" s="14"/>
      <c r="I25" s="15"/>
      <c r="J25" s="14"/>
      <c r="K25" s="14"/>
      <c r="L25" s="14"/>
      <c r="M25" s="15">
        <v>1</v>
      </c>
      <c r="N25" s="14"/>
      <c r="O25" s="14"/>
      <c r="P25" s="14"/>
      <c r="Q25" s="15"/>
      <c r="R25" s="14">
        <v>1</v>
      </c>
      <c r="S25" s="14"/>
      <c r="T25" s="17">
        <f t="shared" si="0"/>
        <v>3</v>
      </c>
      <c r="U25" s="14" t="str">
        <f t="shared" si="1"/>
        <v>Atteint</v>
      </c>
      <c r="V25" s="14"/>
    </row>
    <row r="26" spans="1:22" ht="18" customHeight="1">
      <c r="A26" s="13" t="s">
        <v>87</v>
      </c>
      <c r="B26" s="14"/>
      <c r="C26" s="14"/>
      <c r="D26" s="15"/>
      <c r="E26" s="14"/>
      <c r="F26" s="14"/>
      <c r="G26" s="14"/>
      <c r="H26" s="14"/>
      <c r="I26" s="15"/>
      <c r="J26" s="14"/>
      <c r="K26" s="14"/>
      <c r="L26" s="14"/>
      <c r="M26" s="15"/>
      <c r="N26" s="14"/>
      <c r="O26" s="14"/>
      <c r="P26" s="14"/>
      <c r="Q26" s="15"/>
      <c r="R26" s="14"/>
      <c r="S26" s="14"/>
      <c r="T26" s="17">
        <f t="shared" si="0"/>
        <v>0</v>
      </c>
      <c r="U26" s="14" t="str">
        <f t="shared" si="1"/>
        <v>Sous objectif</v>
      </c>
      <c r="V26" s="14"/>
    </row>
    <row r="27" spans="1:22" ht="18" customHeight="1">
      <c r="A27" s="13" t="s">
        <v>88</v>
      </c>
      <c r="B27" s="14"/>
      <c r="C27" s="14"/>
      <c r="D27" s="15">
        <v>1</v>
      </c>
      <c r="E27" s="14"/>
      <c r="F27" s="14"/>
      <c r="G27" s="14"/>
      <c r="H27" s="14"/>
      <c r="I27" s="15"/>
      <c r="J27" s="14"/>
      <c r="K27" s="14"/>
      <c r="L27" s="14"/>
      <c r="M27" s="15"/>
      <c r="N27" s="14"/>
      <c r="O27" s="14"/>
      <c r="P27" s="14"/>
      <c r="Q27" s="15"/>
      <c r="R27" s="14">
        <v>1</v>
      </c>
      <c r="S27" s="14"/>
      <c r="T27" s="17">
        <f t="shared" si="0"/>
        <v>2</v>
      </c>
      <c r="U27" s="14" t="str">
        <f t="shared" si="1"/>
        <v>Atteint</v>
      </c>
      <c r="V27" s="14"/>
    </row>
    <row r="28" spans="1:22" ht="18" customHeight="1">
      <c r="A28" s="13" t="s">
        <v>85</v>
      </c>
      <c r="B28" s="14"/>
      <c r="C28" s="14"/>
      <c r="D28" s="15"/>
      <c r="E28" s="14"/>
      <c r="F28" s="14"/>
      <c r="G28" s="14"/>
      <c r="H28" s="14"/>
      <c r="I28" s="15"/>
      <c r="J28" s="14"/>
      <c r="K28" s="14"/>
      <c r="L28" s="14">
        <v>1</v>
      </c>
      <c r="M28" s="15"/>
      <c r="N28" s="14"/>
      <c r="O28" s="14"/>
      <c r="P28" s="14"/>
      <c r="Q28" s="15"/>
      <c r="R28" s="14"/>
      <c r="S28" s="14"/>
      <c r="T28" s="17">
        <f t="shared" si="0"/>
        <v>1</v>
      </c>
      <c r="U28" s="14" t="str">
        <f t="shared" si="1"/>
        <v>Sous objectif</v>
      </c>
      <c r="V28" s="14"/>
    </row>
    <row r="29" spans="1:22" ht="18" customHeight="1">
      <c r="A29" s="13" t="s">
        <v>68</v>
      </c>
      <c r="B29" s="14"/>
      <c r="C29" s="14"/>
      <c r="D29" s="15"/>
      <c r="E29" s="14"/>
      <c r="F29" s="14"/>
      <c r="G29" s="14"/>
      <c r="H29" s="14"/>
      <c r="I29" s="15"/>
      <c r="J29" s="14"/>
      <c r="K29" s="14"/>
      <c r="L29" s="14"/>
      <c r="M29" s="15"/>
      <c r="N29" s="14"/>
      <c r="O29" s="14"/>
      <c r="P29" s="14"/>
      <c r="Q29" s="15"/>
      <c r="R29" s="14">
        <v>1</v>
      </c>
      <c r="S29" s="14"/>
      <c r="T29" s="17">
        <f t="shared" si="0"/>
        <v>1</v>
      </c>
      <c r="U29" s="14" t="str">
        <f t="shared" si="1"/>
        <v>Sous objectif</v>
      </c>
      <c r="V29" s="14"/>
    </row>
    <row r="31" spans="1:22" ht="15.75" customHeight="1">
      <c r="A31" s="23" t="s">
        <v>112</v>
      </c>
    </row>
    <row r="32" spans="1:22" ht="15.75" customHeight="1">
      <c r="A32" s="24" t="s">
        <v>106</v>
      </c>
      <c r="B32" s="14"/>
      <c r="C32" s="14"/>
      <c r="D32" s="15"/>
      <c r="E32" s="14"/>
      <c r="F32" s="14"/>
      <c r="G32" s="14"/>
      <c r="H32" s="14"/>
      <c r="I32" s="15"/>
      <c r="J32" s="14"/>
      <c r="K32" s="14"/>
      <c r="L32" s="14"/>
      <c r="M32" s="15"/>
      <c r="N32" s="14"/>
      <c r="O32" s="14"/>
      <c r="P32" s="14"/>
      <c r="Q32" s="15"/>
      <c r="R32" s="14" t="s">
        <v>18</v>
      </c>
      <c r="S32" s="14"/>
      <c r="T32" s="14"/>
    </row>
    <row r="33" spans="1:20" ht="15.75" customHeight="1">
      <c r="A33" s="24" t="s">
        <v>104</v>
      </c>
      <c r="B33" s="14"/>
      <c r="C33" s="14"/>
      <c r="D33" s="15" t="s">
        <v>18</v>
      </c>
      <c r="E33" s="14"/>
      <c r="F33" s="14"/>
      <c r="G33" s="14"/>
      <c r="H33" s="14"/>
      <c r="I33" s="15"/>
      <c r="J33" s="14"/>
      <c r="K33" s="14"/>
      <c r="L33" s="14"/>
      <c r="M33" s="15"/>
      <c r="N33" s="14"/>
      <c r="O33" s="14"/>
      <c r="P33" s="14"/>
      <c r="Q33" s="15"/>
      <c r="R33" s="14"/>
      <c r="S33" s="14"/>
      <c r="T33" s="14"/>
    </row>
    <row r="34" spans="1:20" ht="15.75" customHeight="1">
      <c r="A34" s="24" t="s">
        <v>113</v>
      </c>
      <c r="B34" s="14"/>
      <c r="C34" s="14"/>
      <c r="D34" s="15"/>
      <c r="E34" s="14"/>
      <c r="F34" s="14"/>
      <c r="G34" s="14"/>
      <c r="H34" s="14"/>
      <c r="I34" s="15"/>
      <c r="J34" s="14"/>
      <c r="K34" s="14"/>
      <c r="L34" s="14"/>
      <c r="M34" s="15"/>
      <c r="N34" s="14"/>
      <c r="O34" s="14"/>
      <c r="P34" s="14"/>
      <c r="Q34" s="15"/>
      <c r="R34" s="14"/>
      <c r="S34" s="14"/>
      <c r="T34" s="14"/>
    </row>
  </sheetData>
  <mergeCells count="1">
    <mergeCell ref="A1:U1"/>
  </mergeCells>
  <conditionalFormatting sqref="B4:S29">
    <cfRule type="cellIs" dxfId="11" priority="2" operator="equal">
      <formula>1</formula>
    </cfRule>
    <cfRule type="cellIs" dxfId="10" priority="3" operator="equal">
      <formula>"IC"</formula>
    </cfRule>
    <cfRule type="cellIs" dxfId="9" priority="4" operator="equal">
      <formula>"M"</formula>
    </cfRule>
  </conditionalFormatting>
  <conditionalFormatting sqref="B32:S34">
    <cfRule type="cellIs" dxfId="8" priority="5" operator="equal">
      <formula>"X"</formula>
    </cfRule>
  </conditionalFormatting>
  <dataValidations count="2">
    <dataValidation type="list" allowBlank="1" sqref="B4:S29" xr:uid="{00000000-0002-0000-0600-000000000000}">
      <formula1>"1,IC,M"</formula1>
      <formula2>0</formula2>
    </dataValidation>
    <dataValidation type="list" allowBlank="1" sqref="B32:S34" xr:uid="{00000000-0002-0000-0600-000001000000}">
      <formula1>"X"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Y35"/>
  <sheetViews>
    <sheetView tabSelected="1" zoomScaleNormal="100" workbookViewId="0">
      <selection activeCell="C18" sqref="C18"/>
    </sheetView>
  </sheetViews>
  <sheetFormatPr baseColWidth="10" defaultColWidth="8.83203125" defaultRowHeight="15"/>
  <cols>
    <col min="1" max="1" width="26" customWidth="1"/>
    <col min="2" max="24" width="8" customWidth="1"/>
    <col min="25" max="25" width="18" customWidth="1"/>
  </cols>
  <sheetData>
    <row r="1" spans="1:25" ht="21.75" customHeight="1">
      <c r="A1" s="2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3" spans="1:25" ht="21.75" customHeight="1">
      <c r="A3" s="8" t="s">
        <v>64</v>
      </c>
      <c r="B3" s="9">
        <v>46174</v>
      </c>
      <c r="C3" s="9">
        <v>46175</v>
      </c>
      <c r="D3" s="9">
        <v>46176</v>
      </c>
      <c r="E3" s="9">
        <v>46177</v>
      </c>
      <c r="F3" s="9">
        <v>46178</v>
      </c>
      <c r="G3" s="9">
        <v>46181</v>
      </c>
      <c r="H3" s="9">
        <v>46182</v>
      </c>
      <c r="I3" s="9">
        <v>46183</v>
      </c>
      <c r="J3" s="9">
        <v>46184</v>
      </c>
      <c r="K3" s="9">
        <v>46185</v>
      </c>
      <c r="L3" s="9">
        <v>46188</v>
      </c>
      <c r="M3" s="9">
        <v>46189</v>
      </c>
      <c r="N3" s="9">
        <v>46190</v>
      </c>
      <c r="O3" s="9">
        <v>46191</v>
      </c>
      <c r="P3" s="9">
        <v>46192</v>
      </c>
      <c r="Q3" s="9">
        <v>46195</v>
      </c>
      <c r="R3" s="9">
        <v>46196</v>
      </c>
      <c r="S3" s="9">
        <v>46197</v>
      </c>
      <c r="T3" s="9">
        <v>46198</v>
      </c>
      <c r="U3" s="9">
        <v>46199</v>
      </c>
      <c r="V3" s="9">
        <v>46202</v>
      </c>
      <c r="W3" s="9">
        <v>46203</v>
      </c>
      <c r="X3" s="11" t="s">
        <v>110</v>
      </c>
      <c r="Y3" s="12" t="s">
        <v>111</v>
      </c>
    </row>
    <row r="4" spans="1:25" ht="18" customHeight="1">
      <c r="A4" s="13" t="s">
        <v>77</v>
      </c>
      <c r="B4" s="14"/>
      <c r="C4" s="14"/>
      <c r="D4" s="14"/>
      <c r="E4" s="15"/>
      <c r="F4" s="14"/>
      <c r="G4" s="14"/>
      <c r="H4" s="14"/>
      <c r="I4" s="14"/>
      <c r="J4" s="15"/>
      <c r="K4" s="14"/>
      <c r="L4" s="14"/>
      <c r="M4" s="14"/>
      <c r="N4" s="14"/>
      <c r="O4" s="15"/>
      <c r="P4" s="14"/>
      <c r="Q4" s="14"/>
      <c r="R4" s="14"/>
      <c r="S4" s="14"/>
      <c r="T4" s="15"/>
      <c r="U4" s="14"/>
      <c r="V4" s="14"/>
      <c r="W4" s="14"/>
      <c r="X4" s="17">
        <f>COUNTIF(B4:W4,1)+COUNTIF(B4:W4,"IC")</f>
        <v>0</v>
      </c>
      <c r="Y4" s="14" t="str">
        <f>IF(COUNTIF(B4:W4,"M")&gt;0,"N/A absence longue",IF(X4&gt;=2,"Atteint","Sous objectif"))</f>
        <v>Sous objectif</v>
      </c>
    </row>
    <row r="5" spans="1:25" ht="18" customHeight="1">
      <c r="A5" s="13" t="s">
        <v>92</v>
      </c>
      <c r="B5" s="14" t="s">
        <v>9</v>
      </c>
      <c r="C5" s="14"/>
      <c r="D5" s="14"/>
      <c r="E5" s="15"/>
      <c r="F5" s="14"/>
      <c r="G5" s="14"/>
      <c r="H5" s="14"/>
      <c r="I5" s="14"/>
      <c r="J5" s="15"/>
      <c r="K5" s="14"/>
      <c r="L5" s="14"/>
      <c r="M5" s="14"/>
      <c r="N5" s="14"/>
      <c r="O5" s="15"/>
      <c r="P5" s="14"/>
      <c r="Q5" s="14"/>
      <c r="R5" s="14"/>
      <c r="S5" s="14"/>
      <c r="T5" s="15"/>
      <c r="U5" s="14"/>
      <c r="V5" s="14"/>
      <c r="W5" s="14"/>
      <c r="X5" s="17">
        <f>COUNTIF(B5:W5,1)+COUNTIF(B5:W5,"IC")</f>
        <v>1</v>
      </c>
      <c r="Y5" s="14" t="str">
        <f>IF(COUNTIF(B5:W5,"M")&gt;0,"N/A absence longue",IF(X5&gt;=2,"Atteint","Sous objectif"))</f>
        <v>Sous objectif</v>
      </c>
    </row>
    <row r="6" spans="1:25" ht="18" customHeight="1">
      <c r="A6" s="13" t="s">
        <v>74</v>
      </c>
      <c r="B6" s="14"/>
      <c r="C6" s="14"/>
      <c r="D6" s="14"/>
      <c r="E6" s="15"/>
      <c r="F6" s="14"/>
      <c r="G6" s="14"/>
      <c r="H6" s="14"/>
      <c r="I6" s="14"/>
      <c r="J6" s="15"/>
      <c r="K6" s="14"/>
      <c r="L6" s="14"/>
      <c r="M6" s="14"/>
      <c r="N6" s="14"/>
      <c r="O6" s="15"/>
      <c r="P6" s="14"/>
      <c r="Q6" s="14"/>
      <c r="R6" s="14"/>
      <c r="S6" s="14"/>
      <c r="T6" s="15"/>
      <c r="U6" s="14"/>
      <c r="V6" s="14"/>
      <c r="W6" s="14"/>
      <c r="X6" s="17">
        <f>COUNTIF(B6:W6,1)+COUNTIF(B6:W6,"IC")</f>
        <v>0</v>
      </c>
      <c r="Y6" s="14" t="str">
        <f>IF(COUNTIF(B6:W6,"M")&gt;0,"N/A absence longue",IF(X6&gt;=2,"Atteint","Sous objectif"))</f>
        <v>Sous objectif</v>
      </c>
    </row>
    <row r="7" spans="1:25" ht="18" customHeight="1">
      <c r="A7" s="13" t="s">
        <v>84</v>
      </c>
      <c r="B7" s="14"/>
      <c r="C7" s="14"/>
      <c r="D7" s="14"/>
      <c r="E7" s="15"/>
      <c r="F7" s="14"/>
      <c r="G7" s="14"/>
      <c r="H7" s="14"/>
      <c r="I7" s="14"/>
      <c r="J7" s="15"/>
      <c r="K7" s="14"/>
      <c r="L7" s="14"/>
      <c r="M7" s="14"/>
      <c r="N7" s="14"/>
      <c r="O7" s="15"/>
      <c r="P7" s="14"/>
      <c r="Q7" s="14"/>
      <c r="R7" s="14"/>
      <c r="S7" s="14"/>
      <c r="T7" s="15"/>
      <c r="U7" s="14"/>
      <c r="V7" s="14"/>
      <c r="W7" s="14"/>
      <c r="X7" s="17">
        <f>COUNTIF(B7:W7,1)+COUNTIF(B7:W7,"IC")</f>
        <v>0</v>
      </c>
      <c r="Y7" s="14" t="str">
        <f>IF(COUNTIF(B7:W7,"M")&gt;0,"N/A absence longue",IF(X7&gt;=2,"Atteint","Sous objectif"))</f>
        <v>Sous objectif</v>
      </c>
    </row>
    <row r="8" spans="1:25" ht="18" customHeight="1">
      <c r="A8" s="13" t="s">
        <v>118</v>
      </c>
      <c r="B8" s="14" t="s">
        <v>9</v>
      </c>
      <c r="C8" s="14" t="s">
        <v>9</v>
      </c>
      <c r="D8" s="14"/>
      <c r="E8" s="15"/>
      <c r="F8" s="14"/>
      <c r="G8" s="14"/>
      <c r="H8" s="14"/>
      <c r="I8" s="14"/>
      <c r="J8" s="15"/>
      <c r="K8" s="14"/>
      <c r="L8" s="14"/>
      <c r="M8" s="14"/>
      <c r="N8" s="14"/>
      <c r="O8" s="15"/>
      <c r="P8" s="14"/>
      <c r="Q8" s="14"/>
      <c r="R8" s="14"/>
      <c r="S8" s="14"/>
      <c r="T8" s="15"/>
      <c r="U8" s="14"/>
      <c r="V8" s="14"/>
      <c r="W8" s="14"/>
      <c r="X8" s="17"/>
      <c r="Y8" s="14"/>
    </row>
    <row r="9" spans="1:25" ht="18" customHeight="1">
      <c r="A9" s="13" t="s">
        <v>83</v>
      </c>
      <c r="B9" s="14"/>
      <c r="C9" s="14"/>
      <c r="D9" s="14"/>
      <c r="E9" s="15"/>
      <c r="F9" s="14"/>
      <c r="G9" s="14"/>
      <c r="H9" s="14"/>
      <c r="I9" s="14"/>
      <c r="J9" s="15"/>
      <c r="K9" s="14"/>
      <c r="L9" s="14"/>
      <c r="M9" s="14"/>
      <c r="N9" s="14"/>
      <c r="O9" s="15"/>
      <c r="P9" s="14"/>
      <c r="Q9" s="14"/>
      <c r="R9" s="14"/>
      <c r="S9" s="14"/>
      <c r="T9" s="15"/>
      <c r="U9" s="14"/>
      <c r="V9" s="14"/>
      <c r="W9" s="14"/>
      <c r="X9" s="17">
        <f t="shared" ref="X9:X30" si="0">COUNTIF(B9:W9,1)+COUNTIF(B9:W9,"IC")</f>
        <v>0</v>
      </c>
      <c r="Y9" s="14" t="str">
        <f t="shared" ref="Y9:Y30" si="1">IF(COUNTIF(B9:W9,"M")&gt;0,"N/A absence longue",IF(X9&gt;=2,"Atteint","Sous objectif"))</f>
        <v>Sous objectif</v>
      </c>
    </row>
    <row r="10" spans="1:25" ht="18" customHeight="1">
      <c r="A10" s="13" t="s">
        <v>71</v>
      </c>
      <c r="B10" s="14">
        <v>1</v>
      </c>
      <c r="C10" s="14"/>
      <c r="D10" s="14"/>
      <c r="E10" s="15"/>
      <c r="F10" s="14"/>
      <c r="G10" s="14"/>
      <c r="H10" s="14"/>
      <c r="I10" s="14"/>
      <c r="J10" s="15"/>
      <c r="K10" s="14"/>
      <c r="L10" s="14"/>
      <c r="M10" s="14"/>
      <c r="N10" s="14"/>
      <c r="O10" s="15"/>
      <c r="P10" s="14"/>
      <c r="Q10" s="14"/>
      <c r="R10" s="14"/>
      <c r="S10" s="14"/>
      <c r="T10" s="15"/>
      <c r="U10" s="14"/>
      <c r="V10" s="14"/>
      <c r="W10" s="14"/>
      <c r="X10" s="17">
        <f t="shared" si="0"/>
        <v>1</v>
      </c>
      <c r="Y10" s="14" t="str">
        <f t="shared" si="1"/>
        <v>Sous objectif</v>
      </c>
    </row>
    <row r="11" spans="1:25" ht="18" customHeight="1">
      <c r="A11" s="13" t="s">
        <v>86</v>
      </c>
      <c r="B11" s="14"/>
      <c r="C11" s="14"/>
      <c r="D11" s="14"/>
      <c r="E11" s="15"/>
      <c r="F11" s="14"/>
      <c r="G11" s="14"/>
      <c r="H11" s="14"/>
      <c r="I11" s="14"/>
      <c r="J11" s="15"/>
      <c r="K11" s="14"/>
      <c r="L11" s="14"/>
      <c r="M11" s="14"/>
      <c r="N11" s="14"/>
      <c r="O11" s="15"/>
      <c r="P11" s="14"/>
      <c r="Q11" s="14"/>
      <c r="R11" s="14"/>
      <c r="S11" s="14"/>
      <c r="T11" s="15"/>
      <c r="U11" s="14"/>
      <c r="V11" s="14"/>
      <c r="W11" s="14"/>
      <c r="X11" s="17">
        <f t="shared" si="0"/>
        <v>0</v>
      </c>
      <c r="Y11" s="14" t="str">
        <f t="shared" si="1"/>
        <v>Sous objectif</v>
      </c>
    </row>
    <row r="12" spans="1:25" ht="18" customHeight="1">
      <c r="A12" s="13" t="s">
        <v>82</v>
      </c>
      <c r="B12" s="14"/>
      <c r="C12" s="14"/>
      <c r="D12" s="14"/>
      <c r="E12" s="15"/>
      <c r="F12" s="14"/>
      <c r="G12" s="14"/>
      <c r="H12" s="14"/>
      <c r="I12" s="14"/>
      <c r="J12" s="15"/>
      <c r="K12" s="14"/>
      <c r="L12" s="14"/>
      <c r="M12" s="14"/>
      <c r="N12" s="14"/>
      <c r="O12" s="15"/>
      <c r="P12" s="14"/>
      <c r="Q12" s="14"/>
      <c r="R12" s="14"/>
      <c r="S12" s="14"/>
      <c r="T12" s="15"/>
      <c r="U12" s="14"/>
      <c r="V12" s="14"/>
      <c r="W12" s="14"/>
      <c r="X12" s="17">
        <f t="shared" si="0"/>
        <v>0</v>
      </c>
      <c r="Y12" s="14" t="str">
        <f t="shared" si="1"/>
        <v>Sous objectif</v>
      </c>
    </row>
    <row r="13" spans="1:25" ht="18" customHeight="1">
      <c r="A13" s="13" t="s">
        <v>70</v>
      </c>
      <c r="B13" s="14"/>
      <c r="C13" s="14"/>
      <c r="D13" s="14"/>
      <c r="E13" s="15"/>
      <c r="F13" s="14"/>
      <c r="G13" s="14"/>
      <c r="H13" s="14"/>
      <c r="I13" s="14"/>
      <c r="J13" s="15"/>
      <c r="K13" s="14"/>
      <c r="L13" s="14"/>
      <c r="M13" s="14"/>
      <c r="N13" s="14"/>
      <c r="O13" s="15"/>
      <c r="P13" s="14"/>
      <c r="Q13" s="14"/>
      <c r="R13" s="14"/>
      <c r="S13" s="14"/>
      <c r="T13" s="15"/>
      <c r="U13" s="14"/>
      <c r="V13" s="14"/>
      <c r="W13" s="14"/>
      <c r="X13" s="17">
        <f t="shared" si="0"/>
        <v>0</v>
      </c>
      <c r="Y13" s="14" t="str">
        <f t="shared" si="1"/>
        <v>Sous objectif</v>
      </c>
    </row>
    <row r="14" spans="1:25" ht="18" customHeight="1">
      <c r="A14" s="13" t="s">
        <v>67</v>
      </c>
      <c r="B14" s="14"/>
      <c r="C14" s="14"/>
      <c r="D14" s="14"/>
      <c r="E14" s="15"/>
      <c r="F14" s="14"/>
      <c r="G14" s="14"/>
      <c r="H14" s="14"/>
      <c r="I14" s="14"/>
      <c r="J14" s="15"/>
      <c r="K14" s="14"/>
      <c r="L14" s="14"/>
      <c r="M14" s="14"/>
      <c r="N14" s="14"/>
      <c r="O14" s="15"/>
      <c r="P14" s="14"/>
      <c r="Q14" s="14"/>
      <c r="R14" s="14"/>
      <c r="S14" s="14"/>
      <c r="T14" s="15"/>
      <c r="U14" s="14"/>
      <c r="V14" s="14"/>
      <c r="W14" s="14"/>
      <c r="X14" s="17">
        <f t="shared" si="0"/>
        <v>0</v>
      </c>
      <c r="Y14" s="14" t="str">
        <f t="shared" si="1"/>
        <v>Sous objectif</v>
      </c>
    </row>
    <row r="15" spans="1:25" ht="18" customHeight="1">
      <c r="A15" s="13" t="s">
        <v>90</v>
      </c>
      <c r="B15" s="14"/>
      <c r="C15" s="14"/>
      <c r="D15" s="14"/>
      <c r="E15" s="15"/>
      <c r="F15" s="14"/>
      <c r="G15" s="14"/>
      <c r="H15" s="14"/>
      <c r="I15" s="14"/>
      <c r="J15" s="15"/>
      <c r="K15" s="14"/>
      <c r="L15" s="14"/>
      <c r="M15" s="14"/>
      <c r="N15" s="14"/>
      <c r="O15" s="15"/>
      <c r="P15" s="14"/>
      <c r="Q15" s="14"/>
      <c r="R15" s="14"/>
      <c r="S15" s="14"/>
      <c r="T15" s="15"/>
      <c r="U15" s="14"/>
      <c r="V15" s="14"/>
      <c r="W15" s="14"/>
      <c r="X15" s="17">
        <f t="shared" si="0"/>
        <v>0</v>
      </c>
      <c r="Y15" s="14" t="str">
        <f t="shared" si="1"/>
        <v>Sous objectif</v>
      </c>
    </row>
    <row r="16" spans="1:25" ht="18" customHeight="1">
      <c r="A16" s="13" t="s">
        <v>78</v>
      </c>
      <c r="B16" s="14"/>
      <c r="C16" s="14">
        <v>1</v>
      </c>
      <c r="D16" s="14"/>
      <c r="E16" s="15"/>
      <c r="F16" s="14"/>
      <c r="G16" s="14"/>
      <c r="H16" s="14"/>
      <c r="I16" s="14"/>
      <c r="J16" s="15"/>
      <c r="K16" s="14"/>
      <c r="L16" s="14"/>
      <c r="M16" s="14"/>
      <c r="N16" s="14"/>
      <c r="O16" s="15"/>
      <c r="P16" s="14"/>
      <c r="Q16" s="14"/>
      <c r="R16" s="14"/>
      <c r="S16" s="14"/>
      <c r="T16" s="15"/>
      <c r="U16" s="14"/>
      <c r="V16" s="14"/>
      <c r="W16" s="14"/>
      <c r="X16" s="17">
        <f t="shared" si="0"/>
        <v>1</v>
      </c>
      <c r="Y16" s="14" t="str">
        <f t="shared" si="1"/>
        <v>Sous objectif</v>
      </c>
    </row>
    <row r="17" spans="1:25" ht="18" customHeight="1">
      <c r="A17" s="13" t="s">
        <v>91</v>
      </c>
      <c r="B17" s="14"/>
      <c r="C17" s="14"/>
      <c r="D17" s="14"/>
      <c r="E17" s="15"/>
      <c r="F17" s="14"/>
      <c r="G17" s="14"/>
      <c r="H17" s="14"/>
      <c r="I17" s="14"/>
      <c r="J17" s="15"/>
      <c r="K17" s="14"/>
      <c r="L17" s="14"/>
      <c r="M17" s="14"/>
      <c r="N17" s="14"/>
      <c r="O17" s="15"/>
      <c r="P17" s="14"/>
      <c r="Q17" s="14"/>
      <c r="R17" s="14"/>
      <c r="S17" s="14"/>
      <c r="T17" s="15"/>
      <c r="U17" s="14"/>
      <c r="V17" s="14"/>
      <c r="W17" s="14"/>
      <c r="X17" s="17">
        <f t="shared" si="0"/>
        <v>0</v>
      </c>
      <c r="Y17" s="14" t="str">
        <f t="shared" si="1"/>
        <v>Sous objectif</v>
      </c>
    </row>
    <row r="18" spans="1:25" ht="18" customHeight="1">
      <c r="A18" s="13" t="s">
        <v>75</v>
      </c>
      <c r="B18" s="14"/>
      <c r="C18" s="14" t="s">
        <v>9</v>
      </c>
      <c r="D18" s="14"/>
      <c r="E18" s="15"/>
      <c r="F18" s="14"/>
      <c r="G18" s="14"/>
      <c r="H18" s="14"/>
      <c r="I18" s="14"/>
      <c r="J18" s="15"/>
      <c r="K18" s="14"/>
      <c r="L18" s="14"/>
      <c r="M18" s="14"/>
      <c r="N18" s="14"/>
      <c r="O18" s="15"/>
      <c r="P18" s="14"/>
      <c r="Q18" s="14"/>
      <c r="R18" s="14"/>
      <c r="S18" s="14"/>
      <c r="T18" s="15"/>
      <c r="U18" s="14"/>
      <c r="V18" s="14"/>
      <c r="W18" s="14"/>
      <c r="X18" s="17">
        <f t="shared" si="0"/>
        <v>1</v>
      </c>
      <c r="Y18" s="14" t="str">
        <f t="shared" si="1"/>
        <v>Sous objectif</v>
      </c>
    </row>
    <row r="19" spans="1:25" ht="18" customHeight="1">
      <c r="A19" s="13" t="s">
        <v>81</v>
      </c>
      <c r="B19" s="14"/>
      <c r="C19" s="14"/>
      <c r="D19" s="14"/>
      <c r="E19" s="15"/>
      <c r="F19" s="14"/>
      <c r="G19" s="14"/>
      <c r="H19" s="14"/>
      <c r="I19" s="14"/>
      <c r="J19" s="15"/>
      <c r="K19" s="14"/>
      <c r="L19" s="14"/>
      <c r="M19" s="14"/>
      <c r="N19" s="14"/>
      <c r="O19" s="15"/>
      <c r="P19" s="14"/>
      <c r="Q19" s="14"/>
      <c r="R19" s="14"/>
      <c r="S19" s="14"/>
      <c r="T19" s="15"/>
      <c r="U19" s="14"/>
      <c r="V19" s="14"/>
      <c r="W19" s="14"/>
      <c r="X19" s="17">
        <f t="shared" si="0"/>
        <v>0</v>
      </c>
      <c r="Y19" s="14" t="str">
        <f t="shared" si="1"/>
        <v>Sous objectif</v>
      </c>
    </row>
    <row r="20" spans="1:25" ht="18" customHeight="1">
      <c r="A20" s="13" t="s">
        <v>89</v>
      </c>
      <c r="B20" s="14"/>
      <c r="C20" s="14"/>
      <c r="D20" s="14"/>
      <c r="E20" s="15"/>
      <c r="F20" s="14"/>
      <c r="G20" s="14"/>
      <c r="H20" s="14"/>
      <c r="I20" s="14"/>
      <c r="J20" s="15"/>
      <c r="K20" s="14"/>
      <c r="L20" s="14"/>
      <c r="M20" s="14"/>
      <c r="N20" s="14"/>
      <c r="O20" s="15"/>
      <c r="P20" s="14"/>
      <c r="Q20" s="14"/>
      <c r="R20" s="14"/>
      <c r="S20" s="14"/>
      <c r="T20" s="15"/>
      <c r="U20" s="14"/>
      <c r="V20" s="14"/>
      <c r="W20" s="14"/>
      <c r="X20" s="17">
        <f t="shared" si="0"/>
        <v>0</v>
      </c>
      <c r="Y20" s="14" t="str">
        <f t="shared" si="1"/>
        <v>Sous objectif</v>
      </c>
    </row>
    <row r="21" spans="1:25" ht="18" customHeight="1">
      <c r="A21" s="13" t="s">
        <v>80</v>
      </c>
      <c r="B21" s="14">
        <v>1</v>
      </c>
      <c r="C21" s="14"/>
      <c r="D21" s="14"/>
      <c r="E21" s="15"/>
      <c r="F21" s="14"/>
      <c r="G21" s="14"/>
      <c r="H21" s="14"/>
      <c r="I21" s="14"/>
      <c r="J21" s="15"/>
      <c r="K21" s="14"/>
      <c r="L21" s="14"/>
      <c r="M21" s="14"/>
      <c r="N21" s="14"/>
      <c r="O21" s="15"/>
      <c r="P21" s="14"/>
      <c r="Q21" s="14"/>
      <c r="R21" s="14"/>
      <c r="S21" s="14"/>
      <c r="T21" s="15"/>
      <c r="U21" s="14"/>
      <c r="V21" s="14"/>
      <c r="W21" s="14"/>
      <c r="X21" s="17">
        <f t="shared" si="0"/>
        <v>1</v>
      </c>
      <c r="Y21" s="14" t="str">
        <f t="shared" si="1"/>
        <v>Sous objectif</v>
      </c>
    </row>
    <row r="22" spans="1:25" ht="18" customHeight="1">
      <c r="A22" s="13" t="s">
        <v>72</v>
      </c>
      <c r="B22" s="14"/>
      <c r="C22" s="14"/>
      <c r="D22" s="14"/>
      <c r="E22" s="15"/>
      <c r="F22" s="14"/>
      <c r="G22" s="14"/>
      <c r="H22" s="14"/>
      <c r="I22" s="14"/>
      <c r="J22" s="15"/>
      <c r="K22" s="14"/>
      <c r="L22" s="14"/>
      <c r="M22" s="14"/>
      <c r="N22" s="14"/>
      <c r="O22" s="15"/>
      <c r="P22" s="14"/>
      <c r="Q22" s="14"/>
      <c r="R22" s="14"/>
      <c r="S22" s="14"/>
      <c r="T22" s="15"/>
      <c r="U22" s="14"/>
      <c r="V22" s="14"/>
      <c r="W22" s="14"/>
      <c r="X22" s="17">
        <f t="shared" si="0"/>
        <v>0</v>
      </c>
      <c r="Y22" s="14" t="str">
        <f t="shared" si="1"/>
        <v>Sous objectif</v>
      </c>
    </row>
    <row r="23" spans="1:25" ht="18" customHeight="1">
      <c r="A23" s="13" t="s">
        <v>73</v>
      </c>
      <c r="B23" s="14"/>
      <c r="C23" s="14"/>
      <c r="D23" s="14"/>
      <c r="E23" s="15"/>
      <c r="F23" s="14"/>
      <c r="G23" s="14"/>
      <c r="H23" s="14"/>
      <c r="I23" s="14"/>
      <c r="J23" s="15"/>
      <c r="K23" s="14"/>
      <c r="L23" s="14"/>
      <c r="M23" s="14"/>
      <c r="N23" s="14"/>
      <c r="O23" s="15"/>
      <c r="P23" s="14"/>
      <c r="Q23" s="14"/>
      <c r="R23" s="14"/>
      <c r="S23" s="14"/>
      <c r="T23" s="15"/>
      <c r="U23" s="14"/>
      <c r="V23" s="14"/>
      <c r="W23" s="14"/>
      <c r="X23" s="17">
        <f t="shared" si="0"/>
        <v>0</v>
      </c>
      <c r="Y23" s="14" t="str">
        <f t="shared" si="1"/>
        <v>Sous objectif</v>
      </c>
    </row>
    <row r="24" spans="1:25" ht="18" customHeight="1">
      <c r="A24" s="13" t="s">
        <v>69</v>
      </c>
      <c r="B24" s="14"/>
      <c r="C24" s="14"/>
      <c r="D24" s="14"/>
      <c r="E24" s="15"/>
      <c r="F24" s="14"/>
      <c r="G24" s="14"/>
      <c r="H24" s="14"/>
      <c r="I24" s="14"/>
      <c r="J24" s="15"/>
      <c r="K24" s="14"/>
      <c r="L24" s="14"/>
      <c r="M24" s="14"/>
      <c r="N24" s="14"/>
      <c r="O24" s="15"/>
      <c r="P24" s="14"/>
      <c r="Q24" s="14"/>
      <c r="R24" s="14"/>
      <c r="S24" s="14"/>
      <c r="T24" s="15"/>
      <c r="U24" s="14"/>
      <c r="V24" s="14"/>
      <c r="W24" s="14"/>
      <c r="X24" s="17">
        <f t="shared" si="0"/>
        <v>0</v>
      </c>
      <c r="Y24" s="14" t="str">
        <f t="shared" si="1"/>
        <v>Sous objectif</v>
      </c>
    </row>
    <row r="25" spans="1:25" ht="18" customHeight="1">
      <c r="A25" s="13" t="s">
        <v>76</v>
      </c>
      <c r="B25" s="14"/>
      <c r="C25" s="14"/>
      <c r="D25" s="14"/>
      <c r="E25" s="15"/>
      <c r="F25" s="14"/>
      <c r="G25" s="14"/>
      <c r="H25" s="14"/>
      <c r="I25" s="14"/>
      <c r="J25" s="15"/>
      <c r="K25" s="14"/>
      <c r="L25" s="14"/>
      <c r="M25" s="14"/>
      <c r="N25" s="14"/>
      <c r="O25" s="15"/>
      <c r="P25" s="14"/>
      <c r="Q25" s="14"/>
      <c r="R25" s="14"/>
      <c r="S25" s="14"/>
      <c r="T25" s="15"/>
      <c r="U25" s="14"/>
      <c r="V25" s="14"/>
      <c r="W25" s="14"/>
      <c r="X25" s="17">
        <f t="shared" si="0"/>
        <v>0</v>
      </c>
      <c r="Y25" s="14" t="str">
        <f t="shared" si="1"/>
        <v>Sous objectif</v>
      </c>
    </row>
    <row r="26" spans="1:25" ht="18" customHeight="1">
      <c r="A26" s="13" t="s">
        <v>79</v>
      </c>
      <c r="B26" s="14"/>
      <c r="C26" s="14"/>
      <c r="D26" s="14"/>
      <c r="E26" s="15"/>
      <c r="F26" s="14"/>
      <c r="G26" s="14"/>
      <c r="H26" s="14"/>
      <c r="I26" s="14"/>
      <c r="J26" s="15"/>
      <c r="K26" s="14"/>
      <c r="L26" s="14"/>
      <c r="M26" s="14"/>
      <c r="N26" s="14"/>
      <c r="O26" s="15"/>
      <c r="P26" s="14"/>
      <c r="Q26" s="14"/>
      <c r="R26" s="14"/>
      <c r="S26" s="14"/>
      <c r="T26" s="15"/>
      <c r="U26" s="14"/>
      <c r="V26" s="14"/>
      <c r="W26" s="14"/>
      <c r="X26" s="17">
        <f t="shared" si="0"/>
        <v>0</v>
      </c>
      <c r="Y26" s="14" t="str">
        <f t="shared" si="1"/>
        <v>Sous objectif</v>
      </c>
    </row>
    <row r="27" spans="1:25" ht="18" customHeight="1">
      <c r="A27" s="13" t="s">
        <v>87</v>
      </c>
      <c r="B27" s="14"/>
      <c r="C27" s="14"/>
      <c r="D27" s="14"/>
      <c r="E27" s="15"/>
      <c r="F27" s="14"/>
      <c r="G27" s="14"/>
      <c r="H27" s="14"/>
      <c r="I27" s="14"/>
      <c r="J27" s="15"/>
      <c r="K27" s="14"/>
      <c r="L27" s="14"/>
      <c r="M27" s="14"/>
      <c r="N27" s="14"/>
      <c r="O27" s="15"/>
      <c r="P27" s="14"/>
      <c r="Q27" s="14"/>
      <c r="R27" s="14"/>
      <c r="S27" s="14"/>
      <c r="T27" s="15"/>
      <c r="U27" s="14"/>
      <c r="V27" s="14"/>
      <c r="W27" s="14"/>
      <c r="X27" s="17">
        <f t="shared" si="0"/>
        <v>0</v>
      </c>
      <c r="Y27" s="14" t="str">
        <f t="shared" si="1"/>
        <v>Sous objectif</v>
      </c>
    </row>
    <row r="28" spans="1:25" ht="18" customHeight="1">
      <c r="A28" s="13" t="s">
        <v>88</v>
      </c>
      <c r="B28" s="14"/>
      <c r="C28" s="14"/>
      <c r="D28" s="14"/>
      <c r="E28" s="15"/>
      <c r="F28" s="14"/>
      <c r="G28" s="14"/>
      <c r="H28" s="14"/>
      <c r="I28" s="14"/>
      <c r="J28" s="15"/>
      <c r="K28" s="14"/>
      <c r="L28" s="14"/>
      <c r="M28" s="14"/>
      <c r="N28" s="14"/>
      <c r="O28" s="15"/>
      <c r="P28" s="14"/>
      <c r="Q28" s="14"/>
      <c r="R28" s="14"/>
      <c r="S28" s="14"/>
      <c r="T28" s="15"/>
      <c r="U28" s="14"/>
      <c r="V28" s="14"/>
      <c r="W28" s="14"/>
      <c r="X28" s="17">
        <f t="shared" si="0"/>
        <v>0</v>
      </c>
      <c r="Y28" s="14" t="str">
        <f t="shared" si="1"/>
        <v>Sous objectif</v>
      </c>
    </row>
    <row r="29" spans="1:25" ht="18" customHeight="1">
      <c r="A29" s="13" t="s">
        <v>85</v>
      </c>
      <c r="B29" s="14"/>
      <c r="C29" s="14"/>
      <c r="D29" s="14"/>
      <c r="E29" s="15"/>
      <c r="F29" s="14"/>
      <c r="G29" s="14"/>
      <c r="H29" s="14"/>
      <c r="I29" s="14"/>
      <c r="J29" s="15"/>
      <c r="K29" s="14"/>
      <c r="L29" s="14"/>
      <c r="M29" s="14"/>
      <c r="N29" s="14"/>
      <c r="O29" s="15"/>
      <c r="P29" s="14"/>
      <c r="Q29" s="14"/>
      <c r="R29" s="14"/>
      <c r="S29" s="14"/>
      <c r="T29" s="15"/>
      <c r="U29" s="14"/>
      <c r="V29" s="14"/>
      <c r="W29" s="14"/>
      <c r="X29" s="17">
        <f t="shared" si="0"/>
        <v>0</v>
      </c>
      <c r="Y29" s="14" t="str">
        <f t="shared" si="1"/>
        <v>Sous objectif</v>
      </c>
    </row>
    <row r="30" spans="1:25" ht="18" customHeight="1">
      <c r="A30" s="13" t="s">
        <v>68</v>
      </c>
      <c r="B30" s="14"/>
      <c r="C30" s="14"/>
      <c r="D30" s="14"/>
      <c r="E30" s="15"/>
      <c r="F30" s="14"/>
      <c r="G30" s="14"/>
      <c r="H30" s="14"/>
      <c r="I30" s="14"/>
      <c r="J30" s="15"/>
      <c r="K30" s="14"/>
      <c r="L30" s="14"/>
      <c r="M30" s="14"/>
      <c r="N30" s="14"/>
      <c r="O30" s="15"/>
      <c r="P30" s="14"/>
      <c r="Q30" s="14"/>
      <c r="R30" s="14"/>
      <c r="S30" s="14"/>
      <c r="T30" s="15"/>
      <c r="U30" s="14"/>
      <c r="V30" s="14"/>
      <c r="W30" s="14"/>
      <c r="X30" s="17">
        <f t="shared" si="0"/>
        <v>0</v>
      </c>
      <c r="Y30" s="14" t="str">
        <f t="shared" si="1"/>
        <v>Sous objectif</v>
      </c>
    </row>
    <row r="32" spans="1:25" ht="15.75" customHeight="1">
      <c r="A32" s="23" t="s">
        <v>112</v>
      </c>
    </row>
    <row r="33" spans="1:23" ht="15.75" customHeight="1">
      <c r="A33" s="24" t="s">
        <v>106</v>
      </c>
      <c r="B33" s="14"/>
      <c r="C33" s="14"/>
      <c r="D33" s="14"/>
      <c r="E33" s="15"/>
      <c r="F33" s="14"/>
      <c r="G33" s="14"/>
      <c r="H33" s="14"/>
      <c r="I33" s="14"/>
      <c r="J33" s="15"/>
      <c r="K33" s="14"/>
      <c r="L33" s="14"/>
      <c r="M33" s="14"/>
      <c r="N33" s="14"/>
      <c r="O33" s="15"/>
      <c r="P33" s="14"/>
      <c r="Q33" s="14"/>
      <c r="R33" s="14"/>
      <c r="S33" s="14"/>
      <c r="T33" s="15"/>
      <c r="U33" s="14"/>
      <c r="V33" s="14"/>
      <c r="W33" s="14"/>
    </row>
    <row r="34" spans="1:23" ht="15.75" customHeight="1">
      <c r="A34" s="24" t="s">
        <v>104</v>
      </c>
      <c r="B34" s="14"/>
      <c r="C34" s="14"/>
      <c r="D34" s="14"/>
      <c r="E34" s="15"/>
      <c r="F34" s="14"/>
      <c r="G34" s="14"/>
      <c r="H34" s="14"/>
      <c r="I34" s="14"/>
      <c r="J34" s="15"/>
      <c r="K34" s="14"/>
      <c r="L34" s="14"/>
      <c r="M34" s="14"/>
      <c r="N34" s="14"/>
      <c r="O34" s="15"/>
      <c r="P34" s="14"/>
      <c r="Q34" s="14"/>
      <c r="R34" s="14"/>
      <c r="S34" s="14"/>
      <c r="T34" s="15"/>
      <c r="U34" s="14"/>
      <c r="V34" s="14"/>
      <c r="W34" s="14"/>
    </row>
    <row r="35" spans="1:23" ht="15.75" customHeight="1">
      <c r="A35" s="24" t="s">
        <v>113</v>
      </c>
      <c r="B35" s="14"/>
      <c r="C35" s="14"/>
      <c r="D35" s="14"/>
      <c r="E35" s="15"/>
      <c r="F35" s="14"/>
      <c r="G35" s="14"/>
      <c r="H35" s="14"/>
      <c r="I35" s="14"/>
      <c r="J35" s="15"/>
      <c r="K35" s="14"/>
      <c r="L35" s="14"/>
      <c r="M35" s="14"/>
      <c r="N35" s="14"/>
      <c r="O35" s="15"/>
      <c r="P35" s="14"/>
      <c r="Q35" s="14"/>
      <c r="R35" s="14"/>
      <c r="S35" s="14"/>
      <c r="T35" s="15"/>
      <c r="U35" s="14"/>
      <c r="V35" s="14"/>
      <c r="W35" s="14"/>
    </row>
  </sheetData>
  <mergeCells count="1">
    <mergeCell ref="A1:Y1"/>
  </mergeCells>
  <conditionalFormatting sqref="B4:W30">
    <cfRule type="cellIs" dxfId="7" priority="2" operator="equal">
      <formula>1</formula>
    </cfRule>
    <cfRule type="cellIs" dxfId="6" priority="3" operator="equal">
      <formula>"IC"</formula>
    </cfRule>
    <cfRule type="cellIs" dxfId="5" priority="4" operator="equal">
      <formula>"M"</formula>
    </cfRule>
  </conditionalFormatting>
  <conditionalFormatting sqref="B33:W35">
    <cfRule type="cellIs" dxfId="4" priority="5" operator="equal">
      <formula>"X"</formula>
    </cfRule>
  </conditionalFormatting>
  <dataValidations count="2">
    <dataValidation type="list" allowBlank="1" sqref="B33:W35" xr:uid="{00000000-0002-0000-0700-000000000000}">
      <formula1>"X"</formula1>
      <formula2>0</formula2>
    </dataValidation>
    <dataValidation type="list" allowBlank="1" sqref="B4:W30" xr:uid="{00000000-0002-0000-0700-000001000000}">
      <formula1>"1,IC,M"</formula1>
      <formula2>0</formula2>
    </dataValidation>
  </dataValidations>
  <pageMargins left="0.7" right="0.7" top="0.75" bottom="0.75" header="0.511811023622047" footer="0.511811023622047"/>
  <pageSetup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99"/>
  <sheetViews>
    <sheetView topLeftCell="A8" zoomScaleNormal="100" workbookViewId="0">
      <selection activeCell="E15" sqref="E15"/>
    </sheetView>
  </sheetViews>
  <sheetFormatPr baseColWidth="10" defaultColWidth="8.6640625" defaultRowHeight="15"/>
  <cols>
    <col min="1" max="1" width="14" customWidth="1"/>
    <col min="2" max="2" width="12" customWidth="1"/>
    <col min="3" max="3" width="72" customWidth="1"/>
    <col min="4" max="4" width="28" customWidth="1"/>
    <col min="5" max="5" width="40" customWidth="1"/>
  </cols>
  <sheetData>
    <row r="1" spans="1:5" ht="17.25" customHeight="1">
      <c r="A1" s="2" t="s">
        <v>119</v>
      </c>
      <c r="B1" s="2"/>
      <c r="C1" s="2"/>
      <c r="D1" s="2"/>
      <c r="E1" s="2"/>
    </row>
    <row r="3" spans="1:5" ht="15" customHeight="1">
      <c r="A3" s="8" t="s">
        <v>39</v>
      </c>
      <c r="B3" s="8" t="s">
        <v>41</v>
      </c>
      <c r="C3" s="8" t="s">
        <v>43</v>
      </c>
      <c r="D3" s="8" t="s">
        <v>45</v>
      </c>
      <c r="E3" s="8" t="s">
        <v>47</v>
      </c>
    </row>
    <row r="4" spans="1:5" ht="15" customHeight="1">
      <c r="A4" t="s">
        <v>120</v>
      </c>
      <c r="B4" s="7">
        <v>45720</v>
      </c>
      <c r="C4" t="s">
        <v>121</v>
      </c>
      <c r="D4" t="s">
        <v>99</v>
      </c>
    </row>
    <row r="5" spans="1:5" ht="15" customHeight="1">
      <c r="A5" t="s">
        <v>122</v>
      </c>
      <c r="B5" s="7">
        <v>45734</v>
      </c>
      <c r="C5" t="s">
        <v>121</v>
      </c>
      <c r="D5" t="s">
        <v>78</v>
      </c>
    </row>
    <row r="6" spans="1:5" ht="15" customHeight="1">
      <c r="A6" t="s">
        <v>123</v>
      </c>
      <c r="B6" s="7">
        <v>45783</v>
      </c>
      <c r="C6" t="s">
        <v>124</v>
      </c>
      <c r="D6" t="s">
        <v>99</v>
      </c>
    </row>
    <row r="7" spans="1:5" ht="15" customHeight="1">
      <c r="A7" t="s">
        <v>125</v>
      </c>
      <c r="B7" s="7">
        <v>45792</v>
      </c>
      <c r="C7" t="s">
        <v>126</v>
      </c>
      <c r="D7" t="s">
        <v>99</v>
      </c>
    </row>
    <row r="8" spans="1:5" ht="15" customHeight="1">
      <c r="A8" t="s">
        <v>127</v>
      </c>
      <c r="B8" s="7">
        <v>45839</v>
      </c>
      <c r="C8" t="s">
        <v>128</v>
      </c>
      <c r="D8" t="s">
        <v>89</v>
      </c>
    </row>
    <row r="9" spans="1:5" ht="15" customHeight="1">
      <c r="A9" t="s">
        <v>129</v>
      </c>
      <c r="B9" s="7">
        <v>45869</v>
      </c>
      <c r="C9" t="s">
        <v>130</v>
      </c>
      <c r="D9" t="s">
        <v>99</v>
      </c>
    </row>
    <row r="10" spans="1:5" ht="15" customHeight="1">
      <c r="A10" t="s">
        <v>131</v>
      </c>
      <c r="B10" s="7">
        <v>45923</v>
      </c>
      <c r="C10" t="s">
        <v>132</v>
      </c>
      <c r="D10" t="s">
        <v>99</v>
      </c>
    </row>
    <row r="11" spans="1:5" ht="15" customHeight="1">
      <c r="A11" t="s">
        <v>133</v>
      </c>
      <c r="B11" s="7">
        <v>45951</v>
      </c>
      <c r="C11" t="s">
        <v>132</v>
      </c>
      <c r="D11" t="s">
        <v>99</v>
      </c>
    </row>
    <row r="12" spans="1:5" ht="15" customHeight="1">
      <c r="A12" t="s">
        <v>134</v>
      </c>
      <c r="B12" s="7">
        <v>45993</v>
      </c>
      <c r="C12" t="s">
        <v>135</v>
      </c>
      <c r="D12" t="s">
        <v>136</v>
      </c>
    </row>
    <row r="13" spans="1:5" ht="15" customHeight="1">
      <c r="A13" t="s">
        <v>137</v>
      </c>
      <c r="B13" s="7">
        <v>46044</v>
      </c>
      <c r="C13" t="s">
        <v>135</v>
      </c>
      <c r="D13" t="s">
        <v>86</v>
      </c>
    </row>
    <row r="14" spans="1:5" ht="15" customHeight="1">
      <c r="A14" t="s">
        <v>138</v>
      </c>
      <c r="B14" s="7">
        <v>46049</v>
      </c>
      <c r="C14" t="s">
        <v>139</v>
      </c>
      <c r="D14" t="s">
        <v>99</v>
      </c>
    </row>
    <row r="15" spans="1:5" ht="15" customHeight="1">
      <c r="A15" t="s">
        <v>140</v>
      </c>
      <c r="B15" s="7">
        <v>46063</v>
      </c>
      <c r="C15" t="s">
        <v>128</v>
      </c>
      <c r="D15" t="s">
        <v>89</v>
      </c>
    </row>
    <row r="16" spans="1:5" ht="15" customHeight="1">
      <c r="A16" t="s">
        <v>141</v>
      </c>
      <c r="B16" s="7">
        <v>46077</v>
      </c>
      <c r="C16" t="s">
        <v>142</v>
      </c>
      <c r="D16" t="s">
        <v>86</v>
      </c>
    </row>
    <row r="17" spans="1:4" ht="15" customHeight="1">
      <c r="A17" t="s">
        <v>143</v>
      </c>
      <c r="B17" s="7">
        <v>46098</v>
      </c>
      <c r="C17" t="s">
        <v>144</v>
      </c>
      <c r="D17" t="s">
        <v>90</v>
      </c>
    </row>
    <row r="18" spans="1:4" ht="15" customHeight="1">
      <c r="A18" t="s">
        <v>145</v>
      </c>
      <c r="B18" s="7">
        <v>46105</v>
      </c>
      <c r="C18" t="s">
        <v>146</v>
      </c>
      <c r="D18" t="s">
        <v>99</v>
      </c>
    </row>
    <row r="19" spans="1:4" ht="15" customHeight="1">
      <c r="A19" t="s">
        <v>147</v>
      </c>
      <c r="B19" s="7">
        <v>46119</v>
      </c>
      <c r="C19" t="s">
        <v>142</v>
      </c>
      <c r="D19" t="s">
        <v>69</v>
      </c>
    </row>
    <row r="20" spans="1:4" ht="15" customHeight="1">
      <c r="A20" t="s">
        <v>148</v>
      </c>
      <c r="B20" s="7">
        <v>46140</v>
      </c>
      <c r="C20" t="s">
        <v>144</v>
      </c>
      <c r="D20" t="s">
        <v>149</v>
      </c>
    </row>
    <row r="21" spans="1:4" ht="15" customHeight="1">
      <c r="A21" t="s">
        <v>150</v>
      </c>
      <c r="B21" s="7">
        <v>46161</v>
      </c>
      <c r="C21" t="s">
        <v>151</v>
      </c>
      <c r="D21" t="s">
        <v>89</v>
      </c>
    </row>
    <row r="22" spans="1:4" ht="15" customHeight="1">
      <c r="B22" s="7"/>
    </row>
    <row r="23" spans="1:4" ht="15" customHeight="1">
      <c r="B23" s="7"/>
    </row>
    <row r="24" spans="1:4" ht="15" customHeight="1">
      <c r="B24" s="7"/>
    </row>
    <row r="25" spans="1:4" ht="15" customHeight="1">
      <c r="B25" s="7"/>
    </row>
    <row r="26" spans="1:4" ht="15" customHeight="1">
      <c r="B26" s="7"/>
    </row>
    <row r="27" spans="1:4" ht="15" customHeight="1">
      <c r="B27" s="7"/>
    </row>
    <row r="28" spans="1:4" ht="15" customHeight="1">
      <c r="B28" s="7"/>
    </row>
    <row r="29" spans="1:4" ht="15" customHeight="1">
      <c r="B29" s="7"/>
    </row>
    <row r="30" spans="1:4" ht="15" customHeight="1">
      <c r="B30" s="7"/>
    </row>
    <row r="31" spans="1:4" ht="15" customHeight="1">
      <c r="B31" s="7"/>
    </row>
    <row r="32" spans="1:4" ht="15" customHeight="1">
      <c r="B32" s="7"/>
    </row>
    <row r="33" spans="2:2" ht="15" customHeight="1">
      <c r="B33" s="7"/>
    </row>
    <row r="34" spans="2:2" ht="15" customHeight="1">
      <c r="B34" s="7"/>
    </row>
    <row r="35" spans="2:2" ht="15" customHeight="1">
      <c r="B35" s="7"/>
    </row>
    <row r="36" spans="2:2" ht="15" customHeight="1">
      <c r="B36" s="7"/>
    </row>
    <row r="37" spans="2:2" ht="15" customHeight="1">
      <c r="B37" s="7"/>
    </row>
    <row r="38" spans="2:2" ht="15" customHeight="1">
      <c r="B38" s="7"/>
    </row>
    <row r="39" spans="2:2" ht="15" customHeight="1">
      <c r="B39" s="7"/>
    </row>
    <row r="40" spans="2:2" ht="15" customHeight="1">
      <c r="B40" s="7"/>
    </row>
    <row r="41" spans="2:2" ht="15" customHeight="1">
      <c r="B41" s="7"/>
    </row>
    <row r="42" spans="2:2" ht="15" customHeight="1">
      <c r="B42" s="7"/>
    </row>
    <row r="43" spans="2:2" ht="15" customHeight="1">
      <c r="B43" s="7"/>
    </row>
    <row r="44" spans="2:2" ht="15" customHeight="1">
      <c r="B44" s="7"/>
    </row>
    <row r="45" spans="2:2" ht="15" customHeight="1">
      <c r="B45" s="7"/>
    </row>
    <row r="46" spans="2:2" ht="15" customHeight="1">
      <c r="B46" s="7"/>
    </row>
    <row r="47" spans="2:2" ht="15" customHeight="1">
      <c r="B47" s="7"/>
    </row>
    <row r="48" spans="2:2" ht="15" customHeight="1">
      <c r="B48" s="7"/>
    </row>
    <row r="49" spans="2:2" ht="15" customHeight="1">
      <c r="B49" s="7"/>
    </row>
    <row r="50" spans="2:2" ht="15" customHeight="1">
      <c r="B50" s="7"/>
    </row>
    <row r="51" spans="2:2" ht="15" customHeight="1">
      <c r="B51" s="7"/>
    </row>
    <row r="52" spans="2:2" ht="15" customHeight="1">
      <c r="B52" s="7"/>
    </row>
    <row r="53" spans="2:2" ht="15" customHeight="1">
      <c r="B53" s="7"/>
    </row>
    <row r="54" spans="2:2" ht="15" customHeight="1">
      <c r="B54" s="7"/>
    </row>
    <row r="55" spans="2:2" ht="15" customHeight="1">
      <c r="B55" s="7"/>
    </row>
    <row r="56" spans="2:2" ht="15" customHeight="1">
      <c r="B56" s="7"/>
    </row>
    <row r="57" spans="2:2" ht="15" customHeight="1">
      <c r="B57" s="7"/>
    </row>
    <row r="58" spans="2:2" ht="15" customHeight="1">
      <c r="B58" s="7"/>
    </row>
    <row r="59" spans="2:2" ht="15" customHeight="1">
      <c r="B59" s="7"/>
    </row>
    <row r="60" spans="2:2" ht="15" customHeight="1">
      <c r="B60" s="7"/>
    </row>
    <row r="61" spans="2:2" ht="15" customHeight="1">
      <c r="B61" s="7"/>
    </row>
    <row r="62" spans="2:2" ht="15" customHeight="1">
      <c r="B62" s="7"/>
    </row>
    <row r="63" spans="2:2" ht="15" customHeight="1">
      <c r="B63" s="7"/>
    </row>
    <row r="64" spans="2:2" ht="15" customHeight="1">
      <c r="B64" s="7"/>
    </row>
    <row r="65" spans="2:2" ht="15" customHeight="1">
      <c r="B65" s="7"/>
    </row>
    <row r="66" spans="2:2" ht="15" customHeight="1">
      <c r="B66" s="7"/>
    </row>
    <row r="67" spans="2:2" ht="15" customHeight="1">
      <c r="B67" s="7"/>
    </row>
    <row r="68" spans="2:2" ht="15" customHeight="1">
      <c r="B68" s="7"/>
    </row>
    <row r="69" spans="2:2" ht="15" customHeight="1">
      <c r="B69" s="7"/>
    </row>
    <row r="70" spans="2:2" ht="15" customHeight="1">
      <c r="B70" s="7"/>
    </row>
    <row r="71" spans="2:2" ht="15" customHeight="1">
      <c r="B71" s="7"/>
    </row>
    <row r="72" spans="2:2" ht="15" customHeight="1">
      <c r="B72" s="7"/>
    </row>
    <row r="73" spans="2:2" ht="15" customHeight="1">
      <c r="B73" s="7"/>
    </row>
    <row r="74" spans="2:2" ht="15" customHeight="1">
      <c r="B74" s="7"/>
    </row>
    <row r="75" spans="2:2" ht="15" customHeight="1">
      <c r="B75" s="7"/>
    </row>
    <row r="76" spans="2:2" ht="15" customHeight="1">
      <c r="B76" s="7"/>
    </row>
    <row r="77" spans="2:2" ht="15" customHeight="1">
      <c r="B77" s="7"/>
    </row>
    <row r="78" spans="2:2" ht="15" customHeight="1">
      <c r="B78" s="7"/>
    </row>
    <row r="79" spans="2:2" ht="15" customHeight="1">
      <c r="B79" s="7"/>
    </row>
    <row r="80" spans="2:2" ht="15" customHeight="1">
      <c r="B80" s="7"/>
    </row>
    <row r="81" spans="2:2" ht="15" customHeight="1">
      <c r="B81" s="7"/>
    </row>
    <row r="82" spans="2:2" ht="15" customHeight="1">
      <c r="B82" s="7"/>
    </row>
    <row r="83" spans="2:2" ht="15" customHeight="1">
      <c r="B83" s="7"/>
    </row>
    <row r="84" spans="2:2" ht="15" customHeight="1">
      <c r="B84" s="7"/>
    </row>
    <row r="85" spans="2:2" ht="15" customHeight="1">
      <c r="B85" s="7"/>
    </row>
    <row r="86" spans="2:2" ht="15" customHeight="1">
      <c r="B86" s="7"/>
    </row>
    <row r="87" spans="2:2" ht="15" customHeight="1">
      <c r="B87" s="7"/>
    </row>
    <row r="88" spans="2:2" ht="15" customHeight="1">
      <c r="B88" s="7"/>
    </row>
    <row r="89" spans="2:2" ht="15" customHeight="1">
      <c r="B89" s="7"/>
    </row>
    <row r="90" spans="2:2" ht="15" customHeight="1">
      <c r="B90" s="7"/>
    </row>
    <row r="91" spans="2:2" ht="15" customHeight="1">
      <c r="B91" s="7"/>
    </row>
    <row r="92" spans="2:2" ht="15" customHeight="1">
      <c r="B92" s="7"/>
    </row>
    <row r="93" spans="2:2" ht="15" customHeight="1">
      <c r="B93" s="7"/>
    </row>
    <row r="94" spans="2:2" ht="15" customHeight="1">
      <c r="B94" s="7"/>
    </row>
    <row r="95" spans="2:2" ht="15" customHeight="1">
      <c r="B95" s="7"/>
    </row>
    <row r="96" spans="2:2" ht="15" customHeight="1">
      <c r="B96" s="7"/>
    </row>
    <row r="97" spans="2:2" ht="15" customHeight="1">
      <c r="B97" s="7"/>
    </row>
    <row r="98" spans="2:2" ht="15" customHeight="1">
      <c r="B98" s="7"/>
    </row>
    <row r="99" spans="2:2" ht="15" customHeight="1">
      <c r="B99" s="7"/>
    </row>
  </sheetData>
  <mergeCells count="1">
    <mergeCell ref="A1:E1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800-000000000000}">
          <x14:formula1>
            <xm:f>Référentiel!$A$4:$A$100</xm:f>
          </x14:formula1>
          <x14:formula2>
            <xm:f>0</xm:f>
          </x14:formula2>
          <xm:sqref>D4:D100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A36"/>
  <sheetViews>
    <sheetView topLeftCell="D3" zoomScaleNormal="100" workbookViewId="0">
      <selection activeCell="S15" sqref="S15"/>
    </sheetView>
  </sheetViews>
  <sheetFormatPr baseColWidth="10" defaultColWidth="8.6640625" defaultRowHeight="15"/>
  <cols>
    <col min="1" max="1" width="26" customWidth="1"/>
    <col min="2" max="2" width="10" customWidth="1"/>
    <col min="3" max="26" width="13" customWidth="1"/>
  </cols>
  <sheetData>
    <row r="1" spans="1:27" ht="17.25" customHeight="1">
      <c r="A1" s="2" t="s">
        <v>152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3" spans="1:27" ht="15" customHeight="1">
      <c r="A3" s="8" t="s">
        <v>64</v>
      </c>
      <c r="B3" s="8" t="s">
        <v>110</v>
      </c>
      <c r="C3" s="8" t="s">
        <v>120</v>
      </c>
      <c r="D3" s="8" t="s">
        <v>122</v>
      </c>
      <c r="E3" s="8" t="s">
        <v>123</v>
      </c>
      <c r="F3" s="8" t="s">
        <v>125</v>
      </c>
      <c r="G3" s="8" t="s">
        <v>127</v>
      </c>
      <c r="H3" s="8" t="s">
        <v>129</v>
      </c>
      <c r="I3" s="8" t="s">
        <v>131</v>
      </c>
      <c r="J3" s="8" t="s">
        <v>133</v>
      </c>
      <c r="K3" s="8" t="s">
        <v>134</v>
      </c>
      <c r="L3" s="8" t="s">
        <v>137</v>
      </c>
      <c r="M3" s="8" t="s">
        <v>138</v>
      </c>
      <c r="N3" s="8" t="s">
        <v>140</v>
      </c>
      <c r="O3" s="8" t="s">
        <v>141</v>
      </c>
      <c r="P3" s="8" t="s">
        <v>143</v>
      </c>
      <c r="Q3" s="8" t="s">
        <v>145</v>
      </c>
      <c r="R3" s="8" t="s">
        <v>147</v>
      </c>
      <c r="S3" s="8" t="s">
        <v>148</v>
      </c>
      <c r="T3" s="8" t="s">
        <v>150</v>
      </c>
    </row>
    <row r="4" spans="1:27" ht="15" customHeight="1">
      <c r="A4" s="13" t="s">
        <v>77</v>
      </c>
      <c r="B4" s="17">
        <f t="shared" ref="B4:B36" si="0">COUNTIF(C4:XFD4,"P")+COUNTIF(C4:XFD4,"F")</f>
        <v>3</v>
      </c>
      <c r="O4" t="s">
        <v>33</v>
      </c>
      <c r="P4" t="s">
        <v>33</v>
      </c>
      <c r="T4" t="s">
        <v>33</v>
      </c>
    </row>
    <row r="5" spans="1:27" ht="15" customHeight="1">
      <c r="A5" s="13" t="s">
        <v>92</v>
      </c>
      <c r="B5" s="17">
        <f t="shared" si="0"/>
        <v>2</v>
      </c>
      <c r="R5" t="s">
        <v>33</v>
      </c>
      <c r="S5" t="s">
        <v>33</v>
      </c>
    </row>
    <row r="6" spans="1:27" ht="15" customHeight="1">
      <c r="A6" s="13" t="s">
        <v>74</v>
      </c>
      <c r="B6" s="17">
        <f t="shared" si="0"/>
        <v>3</v>
      </c>
      <c r="F6" t="s">
        <v>33</v>
      </c>
      <c r="H6" t="s">
        <v>33</v>
      </c>
      <c r="S6" t="s">
        <v>30</v>
      </c>
    </row>
    <row r="7" spans="1:27" ht="15" customHeight="1">
      <c r="A7" s="13" t="s">
        <v>84</v>
      </c>
      <c r="B7" s="17">
        <f t="shared" si="0"/>
        <v>10</v>
      </c>
      <c r="D7" t="s">
        <v>33</v>
      </c>
      <c r="E7" t="s">
        <v>33</v>
      </c>
      <c r="G7" t="s">
        <v>33</v>
      </c>
      <c r="H7" t="s">
        <v>33</v>
      </c>
      <c r="I7" t="s">
        <v>33</v>
      </c>
      <c r="K7" t="s">
        <v>33</v>
      </c>
      <c r="M7" t="s">
        <v>33</v>
      </c>
      <c r="O7" t="s">
        <v>33</v>
      </c>
      <c r="P7" t="s">
        <v>33</v>
      </c>
      <c r="T7" t="s">
        <v>33</v>
      </c>
    </row>
    <row r="8" spans="1:27" ht="15" customHeight="1">
      <c r="A8" s="13" t="s">
        <v>83</v>
      </c>
      <c r="B8" s="17">
        <f t="shared" si="0"/>
        <v>8</v>
      </c>
      <c r="M8" t="s">
        <v>33</v>
      </c>
      <c r="N8" t="s">
        <v>33</v>
      </c>
      <c r="O8" t="s">
        <v>33</v>
      </c>
      <c r="P8" t="s">
        <v>33</v>
      </c>
      <c r="Q8" t="s">
        <v>33</v>
      </c>
      <c r="R8" t="s">
        <v>33</v>
      </c>
      <c r="S8" t="s">
        <v>33</v>
      </c>
      <c r="T8" t="s">
        <v>33</v>
      </c>
    </row>
    <row r="9" spans="1:27" ht="15" customHeight="1">
      <c r="A9" s="13" t="s">
        <v>71</v>
      </c>
      <c r="B9" s="17">
        <f t="shared" si="0"/>
        <v>4</v>
      </c>
      <c r="D9" t="s">
        <v>33</v>
      </c>
      <c r="E9" t="s">
        <v>33</v>
      </c>
      <c r="K9" t="s">
        <v>33</v>
      </c>
      <c r="R9" t="s">
        <v>33</v>
      </c>
    </row>
    <row r="10" spans="1:27" ht="15" customHeight="1">
      <c r="A10" s="13" t="s">
        <v>86</v>
      </c>
      <c r="B10" s="17">
        <f t="shared" si="0"/>
        <v>11</v>
      </c>
      <c r="C10" t="s">
        <v>33</v>
      </c>
      <c r="F10" t="s">
        <v>33</v>
      </c>
      <c r="I10" t="s">
        <v>33</v>
      </c>
      <c r="J10" t="s">
        <v>33</v>
      </c>
      <c r="K10" t="s">
        <v>30</v>
      </c>
      <c r="L10" t="s">
        <v>30</v>
      </c>
      <c r="M10" t="s">
        <v>33</v>
      </c>
      <c r="N10" t="s">
        <v>33</v>
      </c>
      <c r="O10" t="s">
        <v>30</v>
      </c>
      <c r="P10" t="s">
        <v>33</v>
      </c>
      <c r="T10" t="s">
        <v>33</v>
      </c>
    </row>
    <row r="11" spans="1:27" ht="15" customHeight="1">
      <c r="A11" s="13" t="s">
        <v>82</v>
      </c>
      <c r="B11" s="17">
        <f t="shared" si="0"/>
        <v>0</v>
      </c>
    </row>
    <row r="12" spans="1:27" ht="15" customHeight="1">
      <c r="A12" s="13" t="s">
        <v>70</v>
      </c>
      <c r="B12" s="17">
        <f t="shared" si="0"/>
        <v>3</v>
      </c>
      <c r="L12" t="s">
        <v>33</v>
      </c>
      <c r="O12" t="s">
        <v>33</v>
      </c>
      <c r="S12" t="s">
        <v>33</v>
      </c>
    </row>
    <row r="13" spans="1:27" ht="15" customHeight="1">
      <c r="A13" s="13" t="s">
        <v>67</v>
      </c>
      <c r="B13" s="17">
        <f t="shared" si="0"/>
        <v>2</v>
      </c>
      <c r="R13" t="s">
        <v>33</v>
      </c>
      <c r="T13" t="s">
        <v>33</v>
      </c>
    </row>
    <row r="14" spans="1:27" ht="15" customHeight="1">
      <c r="A14" s="13" t="s">
        <v>90</v>
      </c>
      <c r="B14" s="17">
        <f t="shared" si="0"/>
        <v>3</v>
      </c>
      <c r="K14" t="s">
        <v>33</v>
      </c>
      <c r="P14" t="s">
        <v>30</v>
      </c>
      <c r="S14" t="s">
        <v>30</v>
      </c>
    </row>
    <row r="15" spans="1:27" ht="15" customHeight="1">
      <c r="A15" s="13" t="s">
        <v>78</v>
      </c>
      <c r="B15" s="17">
        <f t="shared" si="0"/>
        <v>6</v>
      </c>
      <c r="C15" t="s">
        <v>33</v>
      </c>
      <c r="D15" t="s">
        <v>30</v>
      </c>
      <c r="F15" t="s">
        <v>33</v>
      </c>
      <c r="G15" t="s">
        <v>33</v>
      </c>
      <c r="I15" t="s">
        <v>33</v>
      </c>
      <c r="S15" t="s">
        <v>33</v>
      </c>
    </row>
    <row r="16" spans="1:27" ht="15" customHeight="1">
      <c r="A16" s="13" t="s">
        <v>91</v>
      </c>
      <c r="B16" s="17">
        <f t="shared" si="0"/>
        <v>6</v>
      </c>
      <c r="K16" t="s">
        <v>33</v>
      </c>
      <c r="M16" t="s">
        <v>33</v>
      </c>
      <c r="N16" t="s">
        <v>33</v>
      </c>
      <c r="O16" t="s">
        <v>33</v>
      </c>
      <c r="P16" t="s">
        <v>33</v>
      </c>
      <c r="T16" t="s">
        <v>33</v>
      </c>
    </row>
    <row r="17" spans="1:20" ht="15" customHeight="1">
      <c r="A17" s="13" t="s">
        <v>75</v>
      </c>
      <c r="B17" s="17">
        <f t="shared" si="0"/>
        <v>4</v>
      </c>
      <c r="E17" t="s">
        <v>33</v>
      </c>
      <c r="F17" t="s">
        <v>33</v>
      </c>
      <c r="M17" t="s">
        <v>33</v>
      </c>
      <c r="R17" t="s">
        <v>33</v>
      </c>
    </row>
    <row r="18" spans="1:20" ht="15" customHeight="1">
      <c r="A18" s="13" t="s">
        <v>81</v>
      </c>
      <c r="B18" s="17">
        <f t="shared" si="0"/>
        <v>4</v>
      </c>
      <c r="J18" t="s">
        <v>33</v>
      </c>
      <c r="K18" t="s">
        <v>33</v>
      </c>
      <c r="N18" t="s">
        <v>33</v>
      </c>
      <c r="R18" t="s">
        <v>33</v>
      </c>
    </row>
    <row r="19" spans="1:20" ht="15" customHeight="1">
      <c r="A19" s="13" t="s">
        <v>89</v>
      </c>
      <c r="B19" s="17">
        <f t="shared" si="0"/>
        <v>9</v>
      </c>
      <c r="D19" t="s">
        <v>33</v>
      </c>
      <c r="E19" t="s">
        <v>33</v>
      </c>
      <c r="G19" t="s">
        <v>30</v>
      </c>
      <c r="J19" t="s">
        <v>33</v>
      </c>
      <c r="K19" t="s">
        <v>33</v>
      </c>
      <c r="N19" t="s">
        <v>30</v>
      </c>
      <c r="R19" t="s">
        <v>33</v>
      </c>
      <c r="S19" t="s">
        <v>33</v>
      </c>
      <c r="T19" t="s">
        <v>30</v>
      </c>
    </row>
    <row r="20" spans="1:20" ht="15" customHeight="1">
      <c r="A20" s="13" t="s">
        <v>80</v>
      </c>
      <c r="B20" s="17">
        <f t="shared" si="0"/>
        <v>5</v>
      </c>
      <c r="C20" t="s">
        <v>33</v>
      </c>
      <c r="E20" t="s">
        <v>33</v>
      </c>
      <c r="H20" t="s">
        <v>33</v>
      </c>
      <c r="O20" t="s">
        <v>33</v>
      </c>
      <c r="S20" t="s">
        <v>33</v>
      </c>
    </row>
    <row r="21" spans="1:20" ht="15" customHeight="1">
      <c r="A21" s="13" t="s">
        <v>72</v>
      </c>
      <c r="B21" s="17">
        <f t="shared" si="0"/>
        <v>4</v>
      </c>
      <c r="C21" t="s">
        <v>33</v>
      </c>
      <c r="I21" t="s">
        <v>33</v>
      </c>
      <c r="N21" t="s">
        <v>33</v>
      </c>
      <c r="P21" t="s">
        <v>33</v>
      </c>
    </row>
    <row r="22" spans="1:20" ht="15" customHeight="1">
      <c r="A22" s="13" t="s">
        <v>73</v>
      </c>
      <c r="B22" s="17">
        <f t="shared" si="0"/>
        <v>5</v>
      </c>
      <c r="J22" t="s">
        <v>33</v>
      </c>
      <c r="M22" t="s">
        <v>33</v>
      </c>
      <c r="N22" t="s">
        <v>33</v>
      </c>
      <c r="O22" t="s">
        <v>33</v>
      </c>
      <c r="P22" t="s">
        <v>33</v>
      </c>
    </row>
    <row r="23" spans="1:20" ht="15" customHeight="1">
      <c r="A23" s="13" t="s">
        <v>69</v>
      </c>
      <c r="B23" s="17">
        <f t="shared" si="0"/>
        <v>5</v>
      </c>
      <c r="E23" t="s">
        <v>33</v>
      </c>
      <c r="F23" t="s">
        <v>33</v>
      </c>
      <c r="J23" t="s">
        <v>33</v>
      </c>
      <c r="K23" t="s">
        <v>30</v>
      </c>
      <c r="R23" t="s">
        <v>30</v>
      </c>
    </row>
    <row r="24" spans="1:20" ht="15" customHeight="1">
      <c r="A24" s="13" t="s">
        <v>76</v>
      </c>
      <c r="B24" s="17">
        <f t="shared" si="0"/>
        <v>1</v>
      </c>
      <c r="Q24" t="s">
        <v>33</v>
      </c>
    </row>
    <row r="25" spans="1:20" ht="15" customHeight="1">
      <c r="A25" s="13" t="s">
        <v>79</v>
      </c>
      <c r="B25" s="17">
        <f t="shared" si="0"/>
        <v>6</v>
      </c>
      <c r="D25" t="s">
        <v>33</v>
      </c>
      <c r="E25" t="s">
        <v>33</v>
      </c>
      <c r="F25" t="s">
        <v>33</v>
      </c>
      <c r="G25" t="s">
        <v>33</v>
      </c>
      <c r="H25" t="s">
        <v>33</v>
      </c>
      <c r="I25" t="s">
        <v>33</v>
      </c>
    </row>
    <row r="26" spans="1:20" ht="15" customHeight="1">
      <c r="A26" s="13" t="s">
        <v>87</v>
      </c>
      <c r="B26" s="17">
        <f t="shared" si="0"/>
        <v>1</v>
      </c>
      <c r="L26" t="s">
        <v>33</v>
      </c>
    </row>
    <row r="27" spans="1:20" ht="15" customHeight="1">
      <c r="A27" s="13" t="s">
        <v>88</v>
      </c>
      <c r="B27" s="17">
        <f t="shared" si="0"/>
        <v>1</v>
      </c>
      <c r="S27" t="s">
        <v>33</v>
      </c>
    </row>
    <row r="28" spans="1:20" ht="15" customHeight="1">
      <c r="A28" s="13" t="s">
        <v>85</v>
      </c>
      <c r="B28" s="17">
        <f t="shared" si="0"/>
        <v>7</v>
      </c>
      <c r="K28" t="s">
        <v>33</v>
      </c>
      <c r="M28" t="s">
        <v>33</v>
      </c>
      <c r="N28" t="s">
        <v>33</v>
      </c>
      <c r="O28" t="s">
        <v>33</v>
      </c>
      <c r="P28" t="s">
        <v>33</v>
      </c>
      <c r="Q28" t="s">
        <v>33</v>
      </c>
      <c r="T28" t="s">
        <v>33</v>
      </c>
    </row>
    <row r="29" spans="1:20" ht="15" customHeight="1">
      <c r="A29" s="13" t="s">
        <v>68</v>
      </c>
      <c r="B29" s="17">
        <f t="shared" si="0"/>
        <v>9</v>
      </c>
      <c r="C29" t="s">
        <v>33</v>
      </c>
      <c r="E29" t="s">
        <v>33</v>
      </c>
      <c r="H29" t="s">
        <v>33</v>
      </c>
      <c r="J29" t="s">
        <v>33</v>
      </c>
      <c r="K29" t="s">
        <v>33</v>
      </c>
      <c r="N29" t="s">
        <v>33</v>
      </c>
      <c r="O29" t="s">
        <v>33</v>
      </c>
      <c r="P29" t="s">
        <v>33</v>
      </c>
      <c r="Q29" t="s">
        <v>33</v>
      </c>
    </row>
    <row r="30" spans="1:20" ht="15" customHeight="1">
      <c r="A30" s="13" t="s">
        <v>93</v>
      </c>
      <c r="B30" s="17">
        <f t="shared" si="0"/>
        <v>1</v>
      </c>
      <c r="H30" t="s">
        <v>33</v>
      </c>
    </row>
    <row r="31" spans="1:20" ht="15" customHeight="1">
      <c r="A31" s="13" t="s">
        <v>94</v>
      </c>
      <c r="B31" s="17">
        <f t="shared" si="0"/>
        <v>2</v>
      </c>
      <c r="C31" t="s">
        <v>33</v>
      </c>
      <c r="H31" t="s">
        <v>33</v>
      </c>
    </row>
    <row r="32" spans="1:20" ht="15" customHeight="1">
      <c r="A32" s="13" t="s">
        <v>95</v>
      </c>
      <c r="B32" s="17">
        <f t="shared" si="0"/>
        <v>1</v>
      </c>
      <c r="D32" t="s">
        <v>33</v>
      </c>
    </row>
    <row r="33" spans="1:20" ht="15" customHeight="1">
      <c r="A33" s="13" t="s">
        <v>96</v>
      </c>
      <c r="B33" s="17">
        <f t="shared" si="0"/>
        <v>1</v>
      </c>
      <c r="D33" t="s">
        <v>33</v>
      </c>
    </row>
    <row r="34" spans="1:20" ht="15" customHeight="1">
      <c r="A34" s="13" t="s">
        <v>97</v>
      </c>
      <c r="B34" s="17">
        <f t="shared" si="0"/>
        <v>1</v>
      </c>
      <c r="H34" t="s">
        <v>33</v>
      </c>
    </row>
    <row r="35" spans="1:20" ht="15" customHeight="1">
      <c r="A35" s="13" t="s">
        <v>98</v>
      </c>
      <c r="B35" s="17">
        <f t="shared" si="0"/>
        <v>2</v>
      </c>
      <c r="E35" t="s">
        <v>33</v>
      </c>
      <c r="H35" t="s">
        <v>33</v>
      </c>
    </row>
    <row r="36" spans="1:20" ht="15" customHeight="1">
      <c r="A36" s="13" t="s">
        <v>99</v>
      </c>
      <c r="B36" s="17">
        <f t="shared" si="0"/>
        <v>15</v>
      </c>
      <c r="C36" t="s">
        <v>30</v>
      </c>
      <c r="D36" t="s">
        <v>33</v>
      </c>
      <c r="E36" t="s">
        <v>30</v>
      </c>
      <c r="F36" t="s">
        <v>30</v>
      </c>
      <c r="G36" t="s">
        <v>33</v>
      </c>
      <c r="H36" t="s">
        <v>30</v>
      </c>
      <c r="I36" t="s">
        <v>30</v>
      </c>
      <c r="J36" t="s">
        <v>30</v>
      </c>
      <c r="L36" t="s">
        <v>33</v>
      </c>
      <c r="M36" t="s">
        <v>30</v>
      </c>
      <c r="O36" t="s">
        <v>33</v>
      </c>
      <c r="Q36" t="s">
        <v>30</v>
      </c>
      <c r="R36" t="s">
        <v>33</v>
      </c>
      <c r="S36" t="s">
        <v>33</v>
      </c>
      <c r="T36" t="s">
        <v>33</v>
      </c>
    </row>
  </sheetData>
  <mergeCells count="1">
    <mergeCell ref="A1:AA1"/>
  </mergeCells>
  <conditionalFormatting sqref="C4:T36">
    <cfRule type="cellIs" dxfId="3" priority="4" operator="equal">
      <formula>"F"</formula>
    </cfRule>
    <cfRule type="cellIs" dxfId="2" priority="5" operator="equal">
      <formula>"P"</formula>
    </cfRule>
  </conditionalFormatting>
  <conditionalFormatting sqref="C4:Z29">
    <cfRule type="cellIs" dxfId="1" priority="2" operator="equal">
      <formula>"F"</formula>
    </cfRule>
    <cfRule type="cellIs" dxfId="0" priority="3" operator="equal">
      <formula>"P"</formula>
    </cfRule>
  </conditionalFormatting>
  <dataValidations count="1">
    <dataValidation type="list" allowBlank="1" sqref="C4:Z29 C30:T36" xr:uid="{00000000-0002-0000-0900-000000000000}">
      <formula1>"F,P"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7"/>
  <sheetViews>
    <sheetView zoomScaleNormal="100" workbookViewId="0"/>
  </sheetViews>
  <sheetFormatPr baseColWidth="10" defaultColWidth="10.6640625" defaultRowHeight="15"/>
  <sheetData>
    <row r="1" spans="1:6" ht="15.75" customHeight="1">
      <c r="A1" s="3" t="s">
        <v>153</v>
      </c>
    </row>
    <row r="3" spans="1:6" ht="15.75" customHeight="1">
      <c r="A3" s="3" t="s">
        <v>154</v>
      </c>
    </row>
    <row r="5" spans="1:6" ht="15.75" customHeight="1">
      <c r="A5" s="3" t="s">
        <v>155</v>
      </c>
    </row>
    <row r="7" spans="1:6" ht="15.75" customHeight="1">
      <c r="A7" s="3" t="s">
        <v>101</v>
      </c>
      <c r="B7" s="3" t="s">
        <v>156</v>
      </c>
      <c r="C7" s="3" t="s">
        <v>157</v>
      </c>
      <c r="D7" s="3" t="s">
        <v>64</v>
      </c>
      <c r="E7" s="3" t="s">
        <v>158</v>
      </c>
      <c r="F7" s="3" t="s">
        <v>159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G11"/>
  <sheetViews>
    <sheetView zoomScaleNormal="100" workbookViewId="0"/>
  </sheetViews>
  <sheetFormatPr baseColWidth="10" defaultColWidth="10.6640625" defaultRowHeight="15"/>
  <sheetData>
    <row r="1" spans="1:7" ht="15.75" customHeight="1">
      <c r="A1" s="3" t="s">
        <v>160</v>
      </c>
    </row>
    <row r="3" spans="1:7" ht="15.75" customHeight="1">
      <c r="A3" s="3" t="s">
        <v>161</v>
      </c>
    </row>
    <row r="5" spans="1:7" ht="15.75" customHeight="1">
      <c r="A5" s="3" t="s">
        <v>162</v>
      </c>
      <c r="B5" s="3" t="s">
        <v>163</v>
      </c>
      <c r="C5" s="3" t="s">
        <v>164</v>
      </c>
      <c r="D5" s="3" t="s">
        <v>165</v>
      </c>
      <c r="E5" s="3" t="s">
        <v>166</v>
      </c>
      <c r="F5" s="3" t="s">
        <v>167</v>
      </c>
      <c r="G5" s="3" t="s">
        <v>168</v>
      </c>
    </row>
    <row r="6" spans="1:7" ht="15.75" customHeight="1">
      <c r="A6" s="3" t="s">
        <v>169</v>
      </c>
      <c r="B6" s="3">
        <f>COUNTIF('Saisie 2026-02'!W4:W29,"Atteint")+COUNTIF('Saisie 2026-02'!W4:W29,"Sous objectif")</f>
        <v>24</v>
      </c>
      <c r="C6" s="3">
        <f>SUM('Saisie 2026-02'!V4:V29)</f>
        <v>73</v>
      </c>
      <c r="D6" s="3">
        <f>IFERROR(COUNTIF('Saisie 2026-02'!W4:W29,"Atteint")/(COUNTIF('Saisie 2026-02'!W4:W29,"Atteint")+COUNTIF('Saisie 2026-02'!W4:W29,"Sous objectif")),0)</f>
        <v>0.625</v>
      </c>
      <c r="E6" s="3">
        <f>IFERROR(SUM('Saisie 2026-02'!V4:V29)/(COUNTIF('Saisie 2026-02'!W4:W29,"Atteint")+COUNTIF('Saisie 2026-02'!W4:W29,"Sous objectif")),0)</f>
        <v>3.0416666666666665</v>
      </c>
      <c r="F6" s="3">
        <f>COUNTIF('Saisie 2026-02'!V4:V29,"&gt;=1")</f>
        <v>20</v>
      </c>
      <c r="G6" s="3" t="s">
        <v>170</v>
      </c>
    </row>
    <row r="7" spans="1:7" ht="15.75" customHeight="1">
      <c r="A7" s="3" t="s">
        <v>171</v>
      </c>
      <c r="B7" s="3">
        <f>COUNTIF('Saisie 2026-03'!Y4:Y29,"Atteint")+COUNTIF('Saisie 2026-03'!Y4:Y29,"Sous objectif")</f>
        <v>25</v>
      </c>
      <c r="C7" s="3">
        <f>SUM('Saisie 2026-03'!X4:X29)</f>
        <v>72</v>
      </c>
      <c r="D7" s="3">
        <f>IFERROR(COUNTIF('Saisie 2026-03'!Y4:Y29,"Atteint")/(COUNTIF('Saisie 2026-03'!Y4:Y29,"Atteint")+COUNTIF('Saisie 2026-03'!Y4:Y29,"Sous objectif")),0)</f>
        <v>0.6</v>
      </c>
      <c r="E7" s="3">
        <f>IFERROR(SUM('Saisie 2026-03'!X4:X29)/(COUNTIF('Saisie 2026-03'!Y4:Y29,"Atteint")+COUNTIF('Saisie 2026-03'!Y4:Y29,"Sous objectif")),0)</f>
        <v>2.88</v>
      </c>
      <c r="F7" s="3">
        <f>COUNTIF('Saisie 2026-03'!X4:X29,"&gt;=1")</f>
        <v>23</v>
      </c>
      <c r="G7" s="3" t="s">
        <v>170</v>
      </c>
    </row>
    <row r="8" spans="1:7" ht="15.75" customHeight="1">
      <c r="A8" s="3" t="s">
        <v>172</v>
      </c>
      <c r="B8" s="3">
        <f>COUNTIF('Saisie 2026-04'!Y4:Y29,"Atteint")+COUNTIF('Saisie 2026-04'!Y4:Y29,"Sous objectif")</f>
        <v>26</v>
      </c>
      <c r="C8" s="3">
        <f>SUM('Saisie 2026-04'!X4:X29)</f>
        <v>82</v>
      </c>
      <c r="D8" s="3">
        <f>IFERROR(COUNTIF('Saisie 2026-04'!Y4:Y29,"Atteint")/(COUNTIF('Saisie 2026-04'!Y4:Y29,"Atteint")+COUNTIF('Saisie 2026-04'!Y4:Y29,"Sous objectif")),0)</f>
        <v>0.84615384615384615</v>
      </c>
      <c r="E8" s="3">
        <f>IFERROR(SUM('Saisie 2026-04'!X4:X29)/(COUNTIF('Saisie 2026-04'!Y4:Y29,"Atteint")+COUNTIF('Saisie 2026-04'!Y4:Y29,"Sous objectif")),0)</f>
        <v>3.1538461538461537</v>
      </c>
      <c r="F8" s="3">
        <f>COUNTIF('Saisie 2026-04'!X4:X29,"&gt;=1")</f>
        <v>26</v>
      </c>
      <c r="G8" s="3" t="s">
        <v>170</v>
      </c>
    </row>
    <row r="9" spans="1:7" ht="15.75" customHeight="1">
      <c r="A9" s="3" t="s">
        <v>173</v>
      </c>
      <c r="B9" s="3">
        <f>COUNTIF('Saisie 2026-05'!U4:U29,"Atteint")+COUNTIF('Saisie 2026-05'!U4:U29,"Sous objectif")</f>
        <v>26</v>
      </c>
      <c r="C9" s="3">
        <f>SUM('Saisie 2026-05'!T4:T29)</f>
        <v>81</v>
      </c>
      <c r="D9" s="3">
        <f>IFERROR(COUNTIF('Saisie 2026-05'!U4:U29,"Atteint")/(COUNTIF('Saisie 2026-05'!U4:U29,"Atteint")+COUNTIF('Saisie 2026-05'!U4:U29,"Sous objectif")),0)</f>
        <v>0.53846153846153844</v>
      </c>
      <c r="E9" s="3">
        <f>IFERROR(SUM('Saisie 2026-05'!T4:T29)/(COUNTIF('Saisie 2026-05'!U4:U29,"Atteint")+COUNTIF('Saisie 2026-05'!U4:U29,"Sous objectif")),0)</f>
        <v>3.1153846153846154</v>
      </c>
      <c r="F9" s="3">
        <f>COUNTIF('Saisie 2026-05'!T4:T29,"&gt;=1")</f>
        <v>24</v>
      </c>
      <c r="G9" s="3" t="s">
        <v>170</v>
      </c>
    </row>
    <row r="10" spans="1:7" ht="15.75" customHeight="1">
      <c r="A10" s="3" t="s">
        <v>174</v>
      </c>
      <c r="B10" s="3">
        <f>COUNTIF('Saisie 2026-06'!Y4:Y30,"Atteint")+COUNTIF('Saisie 2026-06'!Y4:Y30,"Sous objectif")</f>
        <v>26</v>
      </c>
      <c r="C10" s="3">
        <f>SUM('Saisie 2026-06'!X4:X30)</f>
        <v>5</v>
      </c>
      <c r="D10" s="3">
        <f>IFERROR(COUNTIF('Saisie 2026-06'!Y4:Y30,"Atteint")/(COUNTIF('Saisie 2026-06'!Y4:Y30,"Atteint")+COUNTIF('Saisie 2026-06'!Y4:Y30,"Sous objectif")),0)</f>
        <v>0</v>
      </c>
      <c r="E10" s="3">
        <f>IFERROR(SUM('Saisie 2026-06'!X4:X30)/(COUNTIF('Saisie 2026-06'!Y4:Y30,"Atteint")+COUNTIF('Saisie 2026-06'!Y4:Y30,"Sous objectif")),0)</f>
        <v>0.19230769230769232</v>
      </c>
      <c r="F10" s="3">
        <f>COUNTIF('Saisie 2026-06'!X4:X30,"&gt;=1")</f>
        <v>5</v>
      </c>
      <c r="G10" s="3" t="s">
        <v>170</v>
      </c>
    </row>
    <row r="11" spans="1:7" ht="15.75" customHeight="1">
      <c r="A11" s="3" t="s">
        <v>175</v>
      </c>
      <c r="B11" s="3">
        <f>AVERAGE(B8:B10)</f>
        <v>26</v>
      </c>
      <c r="C11" s="3">
        <f>AVERAGE(C8:C10)</f>
        <v>56</v>
      </c>
      <c r="D11" s="3">
        <f>AVERAGE(D8:D10)</f>
        <v>0.46153846153846151</v>
      </c>
      <c r="E11" s="3">
        <f>AVERAGE(E8:E10)</f>
        <v>2.1538461538461537</v>
      </c>
      <c r="F11" s="3">
        <f>AVERAGE(F8:F10)</f>
        <v>18.333333333333332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H31"/>
  <sheetViews>
    <sheetView zoomScaleNormal="100" workbookViewId="0"/>
  </sheetViews>
  <sheetFormatPr baseColWidth="10" defaultColWidth="10.6640625" defaultRowHeight="15"/>
  <sheetData>
    <row r="1" spans="1:8" ht="15.75" customHeight="1">
      <c r="A1" s="3" t="s">
        <v>176</v>
      </c>
    </row>
    <row r="3" spans="1:8" ht="15.75" customHeight="1">
      <c r="A3" s="3" t="s">
        <v>177</v>
      </c>
    </row>
    <row r="5" spans="1:8" ht="15.75" customHeight="1">
      <c r="A5" s="3" t="s">
        <v>64</v>
      </c>
      <c r="B5" s="3" t="s">
        <v>178</v>
      </c>
      <c r="C5" s="3" t="s">
        <v>171</v>
      </c>
      <c r="D5" s="3" t="s">
        <v>179</v>
      </c>
      <c r="E5" s="3" t="s">
        <v>173</v>
      </c>
      <c r="F5" s="3" t="s">
        <v>174</v>
      </c>
      <c r="G5" s="3" t="s">
        <v>180</v>
      </c>
      <c r="H5" s="3" t="s">
        <v>181</v>
      </c>
    </row>
    <row r="6" spans="1:8" ht="15.75" customHeight="1">
      <c r="A6" s="3" t="s">
        <v>77</v>
      </c>
      <c r="B6" s="3">
        <f>IF('Saisie 2026-02'!W4="N/A absence longue","M",'Saisie 2026-02'!V4)</f>
        <v>3</v>
      </c>
      <c r="C6" s="3">
        <f>IF('Saisie 2026-03'!Y4="N/A absence longue","M",'Saisie 2026-03'!X4)</f>
        <v>3</v>
      </c>
      <c r="D6" s="3">
        <f>IF('Saisie 2026-04'!Y4="N/A absence longue","M",'Saisie 2026-04'!X4)</f>
        <v>2</v>
      </c>
      <c r="E6" s="3">
        <f>IF('Saisie 2026-05'!U4="N/A absence longue","M",'Saisie 2026-05'!T4)</f>
        <v>3</v>
      </c>
      <c r="F6" s="3">
        <f>IF('Saisie 2026-06'!Y4="N/A absence longue","M",'Saisie 2026-06'!X4)</f>
        <v>0</v>
      </c>
      <c r="G6" s="3">
        <f t="shared" ref="G6:G31" si="0">COUNTIF(B6:F6,"&gt;=2")</f>
        <v>4</v>
      </c>
      <c r="H6" s="3" t="str">
        <f t="shared" ref="H6:H31" si="1">IF(G6=5,"5/5 ✓",IF(G6=0,"0/5 ⚠⚠",IF(G6&lt;=1,G6&amp;"/5 ⚠",G6&amp;"/5")))</f>
        <v>4/5</v>
      </c>
    </row>
    <row r="7" spans="1:8" ht="15.75" customHeight="1">
      <c r="A7" s="3" t="s">
        <v>92</v>
      </c>
      <c r="B7" s="3" t="str">
        <f>IF('Saisie 2026-02'!W5="N/A absence longue","M",'Saisie 2026-02'!V5)</f>
        <v>M</v>
      </c>
      <c r="C7" s="3" t="str">
        <f>IF('Saisie 2026-03'!Y5="N/A absence longue","M",'Saisie 2026-03'!X5)</f>
        <v>M</v>
      </c>
      <c r="D7" s="3">
        <f>IF('Saisie 2026-04'!Y5="N/A absence longue","M",'Saisie 2026-04'!X5)</f>
        <v>11</v>
      </c>
      <c r="E7" s="3">
        <f>IF('Saisie 2026-05'!U5="N/A absence longue","M",'Saisie 2026-05'!T5)</f>
        <v>8</v>
      </c>
      <c r="F7" s="3">
        <f>IF('Saisie 2026-06'!Y5="N/A absence longue","M",'Saisie 2026-06'!X5)</f>
        <v>1</v>
      </c>
      <c r="G7" s="3">
        <f t="shared" si="0"/>
        <v>2</v>
      </c>
      <c r="H7" s="3" t="str">
        <f t="shared" si="1"/>
        <v>2/5</v>
      </c>
    </row>
    <row r="8" spans="1:8" ht="15.75" customHeight="1">
      <c r="A8" s="3" t="s">
        <v>74</v>
      </c>
      <c r="B8" s="3">
        <f>IF('Saisie 2026-02'!W6="N/A absence longue","M",'Saisie 2026-02'!V6)</f>
        <v>1</v>
      </c>
      <c r="C8" s="3">
        <f>IF('Saisie 2026-03'!Y6="N/A absence longue","M",'Saisie 2026-03'!X6)</f>
        <v>0</v>
      </c>
      <c r="D8" s="3">
        <f>IF('Saisie 2026-04'!Y6="N/A absence longue","M",'Saisie 2026-04'!X6)</f>
        <v>1</v>
      </c>
      <c r="E8" s="3">
        <f>IF('Saisie 2026-05'!U6="N/A absence longue","M",'Saisie 2026-05'!T6)</f>
        <v>1</v>
      </c>
      <c r="F8" s="3">
        <f>IF('Saisie 2026-06'!Y6="N/A absence longue","M",'Saisie 2026-06'!X6)</f>
        <v>0</v>
      </c>
      <c r="G8" s="3">
        <f t="shared" si="0"/>
        <v>0</v>
      </c>
      <c r="H8" s="3" t="str">
        <f t="shared" si="1"/>
        <v>0/5 ⚠⚠</v>
      </c>
    </row>
    <row r="9" spans="1:8" ht="15.75" customHeight="1">
      <c r="A9" s="3" t="s">
        <v>84</v>
      </c>
      <c r="B9" s="3">
        <f>IF('Saisie 2026-02'!W7="N/A absence longue","M",'Saisie 2026-02'!V7)</f>
        <v>5</v>
      </c>
      <c r="C9" s="3">
        <f>IF('Saisie 2026-03'!Y7="N/A absence longue","M",'Saisie 2026-03'!X7)</f>
        <v>6</v>
      </c>
      <c r="D9" s="3">
        <f>IF('Saisie 2026-04'!Y7="N/A absence longue","M",'Saisie 2026-04'!X7)</f>
        <v>4</v>
      </c>
      <c r="E9" s="3">
        <f>IF('Saisie 2026-05'!U7="N/A absence longue","M",'Saisie 2026-05'!T7)</f>
        <v>5</v>
      </c>
      <c r="F9" s="3">
        <f>IF('Saisie 2026-06'!Y7="N/A absence longue","M",'Saisie 2026-06'!X7)</f>
        <v>0</v>
      </c>
      <c r="G9" s="3">
        <f t="shared" si="0"/>
        <v>4</v>
      </c>
      <c r="H9" s="3" t="str">
        <f t="shared" si="1"/>
        <v>4/5</v>
      </c>
    </row>
    <row r="10" spans="1:8" ht="15.75" customHeight="1">
      <c r="A10" s="3" t="s">
        <v>83</v>
      </c>
      <c r="B10" s="3">
        <f>IF('Saisie 2026-02'!W8="N/A absence longue","M",'Saisie 2026-02'!V8)</f>
        <v>11</v>
      </c>
      <c r="C10" s="3">
        <f>IF('Saisie 2026-03'!Y8="N/A absence longue","M",'Saisie 2026-03'!X8)</f>
        <v>12</v>
      </c>
      <c r="D10" s="3">
        <f>IF('Saisie 2026-04'!Y8="N/A absence longue","M",'Saisie 2026-04'!X8)</f>
        <v>12</v>
      </c>
      <c r="E10" s="3">
        <f>IF('Saisie 2026-05'!U8="N/A absence longue","M",'Saisie 2026-05'!T8)</f>
        <v>11</v>
      </c>
      <c r="F10" s="3">
        <f>IF('Saisie 2026-06'!Y9="N/A absence longue","M",'Saisie 2026-06'!X9)</f>
        <v>0</v>
      </c>
      <c r="G10" s="3">
        <f t="shared" si="0"/>
        <v>4</v>
      </c>
      <c r="H10" s="3" t="str">
        <f t="shared" si="1"/>
        <v>4/5</v>
      </c>
    </row>
    <row r="11" spans="1:8" ht="15.75" customHeight="1">
      <c r="A11" s="3" t="s">
        <v>71</v>
      </c>
      <c r="B11" s="3">
        <f>IF('Saisie 2026-02'!W9="N/A absence longue","M",'Saisie 2026-02'!V9)</f>
        <v>1</v>
      </c>
      <c r="C11" s="3">
        <f>IF('Saisie 2026-03'!Y9="N/A absence longue","M",'Saisie 2026-03'!X9)</f>
        <v>1</v>
      </c>
      <c r="D11" s="3">
        <f>IF('Saisie 2026-04'!Y9="N/A absence longue","M",'Saisie 2026-04'!X9)</f>
        <v>2</v>
      </c>
      <c r="E11" s="3">
        <f>IF('Saisie 2026-05'!U9="N/A absence longue","M",'Saisie 2026-05'!T9)</f>
        <v>10</v>
      </c>
      <c r="F11" s="3">
        <f>IF('Saisie 2026-06'!Y10="N/A absence longue","M",'Saisie 2026-06'!X10)</f>
        <v>1</v>
      </c>
      <c r="G11" s="3">
        <f t="shared" si="0"/>
        <v>2</v>
      </c>
      <c r="H11" s="3" t="str">
        <f t="shared" si="1"/>
        <v>2/5</v>
      </c>
    </row>
    <row r="12" spans="1:8" ht="15.75" customHeight="1">
      <c r="A12" s="3" t="s">
        <v>82</v>
      </c>
      <c r="B12" s="3">
        <f>IF('Saisie 2026-02'!W10="N/A absence longue","M",'Saisie 2026-02'!V10)</f>
        <v>8</v>
      </c>
      <c r="C12" s="3">
        <f>IF('Saisie 2026-03'!Y10="N/A absence longue","M",'Saisie 2026-03'!X10)</f>
        <v>7</v>
      </c>
      <c r="D12" s="3">
        <f>IF('Saisie 2026-04'!Y10="N/A absence longue","M",'Saisie 2026-04'!X10)</f>
        <v>6</v>
      </c>
      <c r="E12" s="3">
        <f>IF('Saisie 2026-05'!U10="N/A absence longue","M",'Saisie 2026-05'!T10)</f>
        <v>6</v>
      </c>
      <c r="F12" s="3">
        <f>IF('Saisie 2026-06'!Y11="N/A absence longue","M",'Saisie 2026-06'!X11)</f>
        <v>0</v>
      </c>
      <c r="G12" s="3">
        <f t="shared" si="0"/>
        <v>4</v>
      </c>
      <c r="H12" s="3" t="str">
        <f t="shared" si="1"/>
        <v>4/5</v>
      </c>
    </row>
    <row r="13" spans="1:8" ht="15.75" customHeight="1">
      <c r="A13" s="3" t="s">
        <v>70</v>
      </c>
      <c r="B13" s="3">
        <f>IF('Saisie 2026-02'!W11="N/A absence longue","M",'Saisie 2026-02'!V11)</f>
        <v>0</v>
      </c>
      <c r="C13" s="3">
        <f>IF('Saisie 2026-03'!Y11="N/A absence longue","M",'Saisie 2026-03'!X11)</f>
        <v>2</v>
      </c>
      <c r="D13" s="3">
        <f>IF('Saisie 2026-04'!Y11="N/A absence longue","M",'Saisie 2026-04'!X11)</f>
        <v>2</v>
      </c>
      <c r="E13" s="3">
        <f>IF('Saisie 2026-05'!U11="N/A absence longue","M",'Saisie 2026-05'!T11)</f>
        <v>1</v>
      </c>
      <c r="F13" s="3">
        <f>IF('Saisie 2026-06'!Y12="N/A absence longue","M",'Saisie 2026-06'!X12)</f>
        <v>0</v>
      </c>
      <c r="G13" s="3">
        <f t="shared" si="0"/>
        <v>2</v>
      </c>
      <c r="H13" s="3" t="str">
        <f t="shared" si="1"/>
        <v>2/5</v>
      </c>
    </row>
    <row r="14" spans="1:8" ht="15.75" customHeight="1">
      <c r="A14" s="3" t="s">
        <v>67</v>
      </c>
      <c r="B14" s="3">
        <f>IF('Saisie 2026-02'!W12="N/A absence longue","M",'Saisie 2026-02'!V12)</f>
        <v>4</v>
      </c>
      <c r="C14" s="3">
        <f>IF('Saisie 2026-03'!Y12="N/A absence longue","M",'Saisie 2026-03'!X12)</f>
        <v>1</v>
      </c>
      <c r="D14" s="3">
        <f>IF('Saisie 2026-04'!Y12="N/A absence longue","M",'Saisie 2026-04'!X12)</f>
        <v>1</v>
      </c>
      <c r="E14" s="3">
        <f>IF('Saisie 2026-05'!U12="N/A absence longue","M",'Saisie 2026-05'!T12)</f>
        <v>1</v>
      </c>
      <c r="F14" s="3">
        <f>IF('Saisie 2026-06'!Y13="N/A absence longue","M",'Saisie 2026-06'!X13)</f>
        <v>0</v>
      </c>
      <c r="G14" s="3">
        <f t="shared" si="0"/>
        <v>1</v>
      </c>
      <c r="H14" s="3" t="str">
        <f t="shared" si="1"/>
        <v>1/5 ⚠</v>
      </c>
    </row>
    <row r="15" spans="1:8" ht="15.75" customHeight="1">
      <c r="A15" s="3" t="s">
        <v>90</v>
      </c>
      <c r="B15" s="3">
        <f>IF('Saisie 2026-02'!W13="N/A absence longue","M",'Saisie 2026-02'!V13)</f>
        <v>0</v>
      </c>
      <c r="C15" s="3">
        <f>IF('Saisie 2026-03'!Y13="N/A absence longue","M",'Saisie 2026-03'!X13)</f>
        <v>2</v>
      </c>
      <c r="D15" s="3">
        <f>IF('Saisie 2026-04'!Y13="N/A absence longue","M",'Saisie 2026-04'!X13)</f>
        <v>1</v>
      </c>
      <c r="E15" s="3">
        <f>IF('Saisie 2026-05'!U13="N/A absence longue","M",'Saisie 2026-05'!T13)</f>
        <v>1</v>
      </c>
      <c r="F15" s="3">
        <f>IF('Saisie 2026-06'!Y14="N/A absence longue","M",'Saisie 2026-06'!X14)</f>
        <v>0</v>
      </c>
      <c r="G15" s="3">
        <f t="shared" si="0"/>
        <v>1</v>
      </c>
      <c r="H15" s="3" t="str">
        <f t="shared" si="1"/>
        <v>1/5 ⚠</v>
      </c>
    </row>
    <row r="16" spans="1:8" ht="15.75" customHeight="1">
      <c r="A16" s="3" t="s">
        <v>91</v>
      </c>
      <c r="B16" s="3">
        <f>IF('Saisie 2026-02'!W14="N/A absence longue","M",'Saisie 2026-02'!V14)</f>
        <v>3</v>
      </c>
      <c r="C16" s="3">
        <f>IF('Saisie 2026-03'!Y14="N/A absence longue","M",'Saisie 2026-03'!X14)</f>
        <v>2</v>
      </c>
      <c r="D16" s="3">
        <f>IF('Saisie 2026-04'!Y14="N/A absence longue","M",'Saisie 2026-04'!X14)</f>
        <v>2</v>
      </c>
      <c r="E16" s="3">
        <f>IF('Saisie 2026-05'!U14="N/A absence longue","M",'Saisie 2026-05'!T14)</f>
        <v>1</v>
      </c>
      <c r="F16" s="3">
        <f>IF('Saisie 2026-06'!Y15="N/A absence longue","M",'Saisie 2026-06'!X15)</f>
        <v>0</v>
      </c>
      <c r="G16" s="3">
        <f t="shared" si="0"/>
        <v>3</v>
      </c>
      <c r="H16" s="3" t="str">
        <f t="shared" si="1"/>
        <v>3/5</v>
      </c>
    </row>
    <row r="17" spans="1:8" ht="15.75" customHeight="1">
      <c r="A17" s="3" t="s">
        <v>75</v>
      </c>
      <c r="B17" s="3">
        <f>IF('Saisie 2026-02'!W15="N/A absence longue","M",'Saisie 2026-02'!V15)</f>
        <v>2</v>
      </c>
      <c r="C17" s="3">
        <f>IF('Saisie 2026-03'!Y15="N/A absence longue","M",'Saisie 2026-03'!X15)</f>
        <v>5</v>
      </c>
      <c r="D17" s="3">
        <f>IF('Saisie 2026-04'!Y15="N/A absence longue","M",'Saisie 2026-04'!X15)</f>
        <v>4</v>
      </c>
      <c r="E17" s="3">
        <f>IF('Saisie 2026-05'!U15="N/A absence longue","M",'Saisie 2026-05'!T15)</f>
        <v>3</v>
      </c>
      <c r="F17" s="3">
        <f>IF('Saisie 2026-06'!Y16="N/A absence longue","M",'Saisie 2026-06'!X16)</f>
        <v>1</v>
      </c>
      <c r="G17" s="3">
        <f t="shared" si="0"/>
        <v>4</v>
      </c>
      <c r="H17" s="3" t="str">
        <f t="shared" si="1"/>
        <v>4/5</v>
      </c>
    </row>
    <row r="18" spans="1:8" ht="15.75" customHeight="1">
      <c r="A18" s="3" t="s">
        <v>81</v>
      </c>
      <c r="B18" s="3">
        <f>IF('Saisie 2026-02'!W16="N/A absence longue","M",'Saisie 2026-02'!V16)</f>
        <v>3</v>
      </c>
      <c r="C18" s="3">
        <f>IF('Saisie 2026-03'!Y16="N/A absence longue","M",'Saisie 2026-03'!X16)</f>
        <v>4</v>
      </c>
      <c r="D18" s="3">
        <f>IF('Saisie 2026-04'!Y16="N/A absence longue","M",'Saisie 2026-04'!X16)</f>
        <v>2</v>
      </c>
      <c r="E18" s="3">
        <f>IF('Saisie 2026-05'!U16="N/A absence longue","M",'Saisie 2026-05'!T16)</f>
        <v>3</v>
      </c>
      <c r="F18" s="3">
        <f>IF('Saisie 2026-06'!Y17="N/A absence longue","M",'Saisie 2026-06'!X17)</f>
        <v>0</v>
      </c>
      <c r="G18" s="3">
        <f t="shared" si="0"/>
        <v>4</v>
      </c>
      <c r="H18" s="3" t="str">
        <f t="shared" si="1"/>
        <v>4/5</v>
      </c>
    </row>
    <row r="19" spans="1:8" ht="15.75" customHeight="1">
      <c r="A19" s="3" t="s">
        <v>89</v>
      </c>
      <c r="B19" s="3">
        <f>IF('Saisie 2026-02'!W17="N/A absence longue","M",'Saisie 2026-02'!V17)</f>
        <v>0</v>
      </c>
      <c r="C19" s="3">
        <f>IF('Saisie 2026-03'!Y17="N/A absence longue","M",'Saisie 2026-03'!X17)</f>
        <v>1</v>
      </c>
      <c r="D19" s="3">
        <f>IF('Saisie 2026-04'!Y17="N/A absence longue","M",'Saisie 2026-04'!X17)</f>
        <v>3</v>
      </c>
      <c r="E19" s="3">
        <f>IF('Saisie 2026-05'!U17="N/A absence longue","M",'Saisie 2026-05'!T17)</f>
        <v>8</v>
      </c>
      <c r="F19" s="3">
        <f>IF('Saisie 2026-06'!Y18="N/A absence longue","M",'Saisie 2026-06'!X18)</f>
        <v>1</v>
      </c>
      <c r="G19" s="3">
        <f t="shared" si="0"/>
        <v>2</v>
      </c>
      <c r="H19" s="3" t="str">
        <f t="shared" si="1"/>
        <v>2/5</v>
      </c>
    </row>
    <row r="20" spans="1:8" ht="15.75" customHeight="1">
      <c r="A20" s="3" t="s">
        <v>86</v>
      </c>
      <c r="B20" s="3">
        <f>IF('Saisie 2026-02'!W18="N/A absence longue","M",'Saisie 2026-02'!V18)</f>
        <v>3</v>
      </c>
      <c r="C20" s="3">
        <f>IF('Saisie 2026-03'!Y18="N/A absence longue","M",'Saisie 2026-03'!X18)</f>
        <v>1</v>
      </c>
      <c r="D20" s="3">
        <f>IF('Saisie 2026-04'!Y18="N/A absence longue","M",'Saisie 2026-04'!X18)</f>
        <v>2</v>
      </c>
      <c r="E20" s="3">
        <f>IF('Saisie 2026-05'!U18="N/A absence longue","M",'Saisie 2026-05'!T18)</f>
        <v>1</v>
      </c>
      <c r="F20" s="3">
        <f>IF('Saisie 2026-06'!Y19="N/A absence longue","M",'Saisie 2026-06'!X19)</f>
        <v>0</v>
      </c>
      <c r="G20" s="3">
        <f t="shared" si="0"/>
        <v>2</v>
      </c>
      <c r="H20" s="3" t="str">
        <f t="shared" si="1"/>
        <v>2/5</v>
      </c>
    </row>
    <row r="21" spans="1:8" ht="15.75" customHeight="1">
      <c r="A21" s="3" t="s">
        <v>78</v>
      </c>
      <c r="B21" s="3">
        <f>IF('Saisie 2026-02'!W19="N/A absence longue","M",'Saisie 2026-02'!V19)</f>
        <v>1</v>
      </c>
      <c r="C21" s="3">
        <f>IF('Saisie 2026-03'!Y19="N/A absence longue","M",'Saisie 2026-03'!X19)</f>
        <v>1</v>
      </c>
      <c r="D21" s="3">
        <f>IF('Saisie 2026-04'!Y19="N/A absence longue","M",'Saisie 2026-04'!X19)</f>
        <v>3</v>
      </c>
      <c r="E21" s="3">
        <f>IF('Saisie 2026-05'!U19="N/A absence longue","M",'Saisie 2026-05'!T19)</f>
        <v>2</v>
      </c>
      <c r="F21" s="3">
        <f>IF('Saisie 2026-06'!Y20="N/A absence longue","M",'Saisie 2026-06'!X20)</f>
        <v>0</v>
      </c>
      <c r="G21" s="3">
        <f t="shared" si="0"/>
        <v>2</v>
      </c>
      <c r="H21" s="3" t="str">
        <f t="shared" si="1"/>
        <v>2/5</v>
      </c>
    </row>
    <row r="22" spans="1:8" ht="15.75" customHeight="1">
      <c r="A22" s="3" t="s">
        <v>80</v>
      </c>
      <c r="B22" s="3">
        <f>IF('Saisie 2026-02'!W20="N/A absence longue","M",'Saisie 2026-02'!V20)</f>
        <v>2</v>
      </c>
      <c r="C22" s="3">
        <f>IF('Saisie 2026-03'!Y20="N/A absence longue","M",'Saisie 2026-03'!X20)</f>
        <v>4</v>
      </c>
      <c r="D22" s="3">
        <f>IF('Saisie 2026-04'!Y20="N/A absence longue","M",'Saisie 2026-04'!X20)</f>
        <v>3</v>
      </c>
      <c r="E22" s="3">
        <f>IF('Saisie 2026-05'!U20="N/A absence longue","M",'Saisie 2026-05'!T20)</f>
        <v>1</v>
      </c>
      <c r="F22" s="3">
        <f>IF('Saisie 2026-06'!Y21="N/A absence longue","M",'Saisie 2026-06'!X21)</f>
        <v>1</v>
      </c>
      <c r="G22" s="3">
        <f t="shared" si="0"/>
        <v>3</v>
      </c>
      <c r="H22" s="3" t="str">
        <f t="shared" si="1"/>
        <v>3/5</v>
      </c>
    </row>
    <row r="23" spans="1:8" ht="15.75" customHeight="1">
      <c r="A23" s="3" t="s">
        <v>72</v>
      </c>
      <c r="B23" s="3">
        <f>IF('Saisie 2026-02'!W21="N/A absence longue","M",'Saisie 2026-02'!V21)</f>
        <v>2</v>
      </c>
      <c r="C23" s="3">
        <f>IF('Saisie 2026-03'!Y21="N/A absence longue","M",'Saisie 2026-03'!X21)</f>
        <v>4</v>
      </c>
      <c r="D23" s="3">
        <f>IF('Saisie 2026-04'!Y21="N/A absence longue","M",'Saisie 2026-04'!X21)</f>
        <v>3</v>
      </c>
      <c r="E23" s="3">
        <f>IF('Saisie 2026-05'!U21="N/A absence longue","M",'Saisie 2026-05'!T21)</f>
        <v>5</v>
      </c>
      <c r="F23" s="3">
        <f>IF('Saisie 2026-06'!Y22="N/A absence longue","M",'Saisie 2026-06'!X22)</f>
        <v>0</v>
      </c>
      <c r="G23" s="3">
        <f t="shared" si="0"/>
        <v>4</v>
      </c>
      <c r="H23" s="3" t="str">
        <f t="shared" si="1"/>
        <v>4/5</v>
      </c>
    </row>
    <row r="24" spans="1:8" ht="15.75" customHeight="1">
      <c r="A24" s="3" t="s">
        <v>73</v>
      </c>
      <c r="B24" s="3">
        <f>IF('Saisie 2026-02'!W22="N/A absence longue","M",'Saisie 2026-02'!V22)</f>
        <v>2</v>
      </c>
      <c r="C24" s="3">
        <f>IF('Saisie 2026-03'!Y22="N/A absence longue","M",'Saisie 2026-03'!X22)</f>
        <v>1</v>
      </c>
      <c r="D24" s="3">
        <f>IF('Saisie 2026-04'!Y22="N/A absence longue","M",'Saisie 2026-04'!X22)</f>
        <v>2</v>
      </c>
      <c r="E24" s="3">
        <f>IF('Saisie 2026-05'!U22="N/A absence longue","M",'Saisie 2026-05'!T22)</f>
        <v>0</v>
      </c>
      <c r="F24" s="3">
        <f>IF('Saisie 2026-06'!Y23="N/A absence longue","M",'Saisie 2026-06'!X23)</f>
        <v>0</v>
      </c>
      <c r="G24" s="3">
        <f t="shared" si="0"/>
        <v>2</v>
      </c>
      <c r="H24" s="3" t="str">
        <f t="shared" si="1"/>
        <v>2/5</v>
      </c>
    </row>
    <row r="25" spans="1:8" ht="15.75" customHeight="1">
      <c r="A25" s="3" t="s">
        <v>69</v>
      </c>
      <c r="B25" s="3">
        <f>IF('Saisie 2026-02'!W23="N/A absence longue","M",'Saisie 2026-02'!V23)</f>
        <v>1</v>
      </c>
      <c r="C25" s="3">
        <f>IF('Saisie 2026-03'!Y23="N/A absence longue","M",'Saisie 2026-03'!X23)</f>
        <v>1</v>
      </c>
      <c r="D25" s="3">
        <f>IF('Saisie 2026-04'!Y23="N/A absence longue","M",'Saisie 2026-04'!X23)</f>
        <v>2</v>
      </c>
      <c r="E25" s="3">
        <f>IF('Saisie 2026-05'!U23="N/A absence longue","M",'Saisie 2026-05'!T23)</f>
        <v>2</v>
      </c>
      <c r="F25" s="3">
        <f>IF('Saisie 2026-06'!Y24="N/A absence longue","M",'Saisie 2026-06'!X24)</f>
        <v>0</v>
      </c>
      <c r="G25" s="3">
        <f t="shared" si="0"/>
        <v>2</v>
      </c>
      <c r="H25" s="3" t="str">
        <f t="shared" si="1"/>
        <v>2/5</v>
      </c>
    </row>
    <row r="26" spans="1:8" ht="15.75" customHeight="1">
      <c r="A26" s="3" t="s">
        <v>76</v>
      </c>
      <c r="B26" s="3">
        <f>IF('Saisie 2026-02'!W24="N/A absence longue","M",'Saisie 2026-02'!V24)</f>
        <v>0</v>
      </c>
      <c r="C26" s="3">
        <f>IF('Saisie 2026-03'!Y24="N/A absence longue","M",'Saisie 2026-03'!X24)</f>
        <v>4</v>
      </c>
      <c r="D26" s="3">
        <f>IF('Saisie 2026-04'!Y24="N/A absence longue","M",'Saisie 2026-04'!X24)</f>
        <v>2</v>
      </c>
      <c r="E26" s="3">
        <f>IF('Saisie 2026-05'!U24="N/A absence longue","M",'Saisie 2026-05'!T24)</f>
        <v>1</v>
      </c>
      <c r="F26" s="3">
        <f>IF('Saisie 2026-06'!Y25="N/A absence longue","M",'Saisie 2026-06'!X25)</f>
        <v>0</v>
      </c>
      <c r="G26" s="3">
        <f t="shared" si="0"/>
        <v>2</v>
      </c>
      <c r="H26" s="3" t="str">
        <f t="shared" si="1"/>
        <v>2/5</v>
      </c>
    </row>
    <row r="27" spans="1:8" ht="15.75" customHeight="1">
      <c r="A27" s="3" t="s">
        <v>79</v>
      </c>
      <c r="B27" s="3">
        <f>IF('Saisie 2026-02'!W25="N/A absence longue","M",'Saisie 2026-02'!V25)</f>
        <v>11</v>
      </c>
      <c r="C27" s="3">
        <f>IF('Saisie 2026-03'!Y25="N/A absence longue","M",'Saisie 2026-03'!X25)</f>
        <v>1</v>
      </c>
      <c r="D27" s="3">
        <f>IF('Saisie 2026-04'!Y25="N/A absence longue","M",'Saisie 2026-04'!X25)</f>
        <v>2</v>
      </c>
      <c r="E27" s="3">
        <f>IF('Saisie 2026-05'!U25="N/A absence longue","M",'Saisie 2026-05'!T25)</f>
        <v>3</v>
      </c>
      <c r="F27" s="3">
        <f>IF('Saisie 2026-06'!Y26="N/A absence longue","M",'Saisie 2026-06'!X26)</f>
        <v>0</v>
      </c>
      <c r="G27" s="3">
        <f t="shared" si="0"/>
        <v>3</v>
      </c>
      <c r="H27" s="3" t="str">
        <f t="shared" si="1"/>
        <v>3/5</v>
      </c>
    </row>
    <row r="28" spans="1:8" ht="15.75" customHeight="1">
      <c r="A28" s="3" t="s">
        <v>87</v>
      </c>
      <c r="B28" s="3">
        <f>IF('Saisie 2026-02'!W26="N/A absence longue","M",'Saisie 2026-02'!V26)</f>
        <v>1</v>
      </c>
      <c r="C28" s="3">
        <f>IF('Saisie 2026-03'!Y26="N/A absence longue","M",'Saisie 2026-03'!X26)</f>
        <v>0</v>
      </c>
      <c r="D28" s="3">
        <f>IF('Saisie 2026-04'!Y26="N/A absence longue","M",'Saisie 2026-04'!X26)</f>
        <v>1</v>
      </c>
      <c r="E28" s="3">
        <f>IF('Saisie 2026-05'!U26="N/A absence longue","M",'Saisie 2026-05'!T26)</f>
        <v>0</v>
      </c>
      <c r="F28" s="3">
        <f>IF('Saisie 2026-06'!Y27="N/A absence longue","M",'Saisie 2026-06'!X27)</f>
        <v>0</v>
      </c>
      <c r="G28" s="3">
        <f t="shared" si="0"/>
        <v>0</v>
      </c>
      <c r="H28" s="3" t="str">
        <f t="shared" si="1"/>
        <v>0/5 ⚠⚠</v>
      </c>
    </row>
    <row r="29" spans="1:8" ht="15.75" customHeight="1">
      <c r="A29" s="3" t="s">
        <v>88</v>
      </c>
      <c r="B29" s="3">
        <f>IF('Saisie 2026-02'!W27="N/A absence longue","M",'Saisie 2026-02'!V27)</f>
        <v>5</v>
      </c>
      <c r="C29" s="3">
        <f>IF('Saisie 2026-03'!Y27="N/A absence longue","M",'Saisie 2026-03'!X27)</f>
        <v>2</v>
      </c>
      <c r="D29" s="3">
        <f>IF('Saisie 2026-04'!Y27="N/A absence longue","M",'Saisie 2026-04'!X27)</f>
        <v>2</v>
      </c>
      <c r="E29" s="3">
        <f>IF('Saisie 2026-05'!U27="N/A absence longue","M",'Saisie 2026-05'!T27)</f>
        <v>2</v>
      </c>
      <c r="F29" s="3">
        <f>IF('Saisie 2026-06'!Y28="N/A absence longue","M",'Saisie 2026-06'!X28)</f>
        <v>0</v>
      </c>
      <c r="G29" s="3">
        <f t="shared" si="0"/>
        <v>4</v>
      </c>
      <c r="H29" s="3" t="str">
        <f t="shared" si="1"/>
        <v>4/5</v>
      </c>
    </row>
    <row r="30" spans="1:8" ht="15.75" customHeight="1">
      <c r="A30" s="3" t="s">
        <v>85</v>
      </c>
      <c r="B30" s="3">
        <f>IF('Saisie 2026-02'!W28="N/A absence longue","M",'Saisie 2026-02'!V28)</f>
        <v>4</v>
      </c>
      <c r="C30" s="3">
        <f>IF('Saisie 2026-03'!Y28="N/A absence longue","M",'Saisie 2026-03'!X28)</f>
        <v>4</v>
      </c>
      <c r="D30" s="3">
        <f>IF('Saisie 2026-04'!Y28="N/A absence longue","M",'Saisie 2026-04'!X28)</f>
        <v>3</v>
      </c>
      <c r="E30" s="3">
        <f>IF('Saisie 2026-05'!U28="N/A absence longue","M",'Saisie 2026-05'!T28)</f>
        <v>1</v>
      </c>
      <c r="F30" s="3">
        <f>IF('Saisie 2026-06'!Y29="N/A absence longue","M",'Saisie 2026-06'!X29)</f>
        <v>0</v>
      </c>
      <c r="G30" s="3">
        <f t="shared" si="0"/>
        <v>3</v>
      </c>
      <c r="H30" s="3" t="str">
        <f t="shared" si="1"/>
        <v>3/5</v>
      </c>
    </row>
    <row r="31" spans="1:8" ht="15.75" customHeight="1">
      <c r="A31" s="3" t="s">
        <v>68</v>
      </c>
      <c r="B31" s="3">
        <f>IF('Saisie 2026-02'!W29="N/A absence longue","M",'Saisie 2026-02'!V29)</f>
        <v>0</v>
      </c>
      <c r="C31" s="3">
        <f>IF('Saisie 2026-03'!Y29="N/A absence longue","M",'Saisie 2026-03'!X29)</f>
        <v>3</v>
      </c>
      <c r="D31" s="3">
        <f>IF('Saisie 2026-04'!Y29="N/A absence longue","M",'Saisie 2026-04'!X29)</f>
        <v>4</v>
      </c>
      <c r="E31" s="3">
        <f>IF('Saisie 2026-05'!U29="N/A absence longue","M",'Saisie 2026-05'!T29)</f>
        <v>1</v>
      </c>
      <c r="F31" s="3">
        <f>IF('Saisie 2026-06'!Y30="N/A absence longue","M",'Saisie 2026-06'!X30)</f>
        <v>0</v>
      </c>
      <c r="G31" s="3">
        <f t="shared" si="0"/>
        <v>2</v>
      </c>
      <c r="H31" s="3" t="str">
        <f t="shared" si="1"/>
        <v>2/5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13</vt:i4>
      </vt:variant>
    </vt:vector>
  </HeadingPairs>
  <TitlesOfParts>
    <vt:vector size="13" baseType="lpstr">
      <vt:lpstr>Convention</vt:lpstr>
      <vt:lpstr>Référentiel</vt:lpstr>
      <vt:lpstr>Événements</vt:lpstr>
      <vt:lpstr>Saisie 2026-02</vt:lpstr>
      <vt:lpstr>Saisie 2026-03</vt:lpstr>
      <vt:lpstr>Saisie 2026-04</vt:lpstr>
      <vt:lpstr>Saisie 2026-05</vt:lpstr>
      <vt:lpstr>Saisie 2026-06</vt:lpstr>
      <vt:lpstr>Formations</vt:lpstr>
      <vt:lpstr>Formations_Participations</vt:lpstr>
      <vt:lpstr>Log</vt:lpstr>
      <vt:lpstr>Synthèse mensuelle</vt:lpstr>
      <vt:lpstr>Synthèse consultant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Jérémie KIEFFER</cp:lastModifiedBy>
  <cp:revision>0</cp:revision>
  <dcterms:created xsi:type="dcterms:W3CDTF">2026-04-27T09:55:04Z</dcterms:created>
  <dcterms:modified xsi:type="dcterms:W3CDTF">2026-06-02T07:45:28Z</dcterms:modified>
  <dc:language>en-US</dc:language>
</cp:coreProperties>
</file>